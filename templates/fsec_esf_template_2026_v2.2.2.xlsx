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codeName="ThisWorkbook"/>
  <mc:AlternateContent xmlns:mc="http://schemas.openxmlformats.org/markup-compatibility/2006">
    <mc:Choice Requires="x15">
      <x15ac:absPath xmlns:x15ac="http://schemas.microsoft.com/office/spreadsheetml/2010/11/ac" url="C:\Users\zhouyong\Desktop\"/>
    </mc:Choice>
  </mc:AlternateContent>
  <xr:revisionPtr revIDLastSave="0" documentId="13_ncr:1_{4323973C-587D-4601-A239-F2E9811D864A}" xr6:coauthVersionLast="36" xr6:coauthVersionMax="47" xr10:uidLastSave="{00000000-0000-0000-0000-000000000000}"/>
  <bookViews>
    <workbookView xWindow="-108" yWindow="-108" windowWidth="23256" windowHeight="13176" xr2:uid="{00000000-000D-0000-FFFF-FFFF00000000}"/>
  </bookViews>
  <sheets>
    <sheet name="总览 Overview" sheetId="1" r:id="rId1"/>
    <sheet name="规格书 Datasheet" sheetId="2" r:id="rId2"/>
    <sheet name="驱动系统原理图 TS Schematics" sheetId="3" r:id="rId3"/>
    <sheet name="电池箱 Accumulator" sheetId="13" r:id="rId4"/>
    <sheet name="备用电池箱 Spare Accumulator" sheetId="14" r:id="rId5"/>
    <sheet name="预充电放电 PrechargeDischarge" sheetId="5" r:id="rId6"/>
    <sheet name="充电 Charging" sheetId="6" r:id="rId7"/>
    <sheet name="安全系统 Shutdown circuit" sheetId="7" r:id="rId8"/>
    <sheet name="扭矩指令 Torque Security" sheetId="8" r:id="rId9"/>
    <sheet name="其他 Others" sheetId="9" r:id="rId10"/>
    <sheet name="接地 Grounding" sheetId="10" r:id="rId11"/>
    <sheet name="修订历史 Revision" sheetId="11" r:id="rId12"/>
  </sheets>
  <definedNames>
    <definedName name="BattCellCapacity">'规格书 Datasheet'!$C$5</definedName>
    <definedName name="BattCellCapacity_BK">'备用电池箱 Spare Accumulator'!$C$6</definedName>
    <definedName name="BattCellMaxV">'规格书 Datasheet'!$C$6</definedName>
    <definedName name="BattCellMaxV_BK">'备用电池箱 Spare Accumulator'!$C$7</definedName>
    <definedName name="BattCellNomV">'规格书 Datasheet'!$C$7</definedName>
    <definedName name="BattCellNomV_BK">'备用电池箱 Spare Accumulator'!$C$8</definedName>
    <definedName name="BusCap">'预充电放电 PrechargeDischarge'!$D$10</definedName>
    <definedName name="CellsPerTempSensor">'电池箱 Accumulator'!$O$25</definedName>
    <definedName name="CellsPerTempSensor_BK">'备用电池箱 Spare Accumulator'!$O$39</definedName>
    <definedName name="ConnectorNames">'规格书 Datasheet'!$B$74:$B$92</definedName>
    <definedName name="ConnectorsTable">'规格书 Datasheet'!$A$74:$H$92</definedName>
    <definedName name="ConnectorTable">'规格书 Datasheet'!$B$74:$H$92</definedName>
    <definedName name="ContactorNames">'规格书 Datasheet'!$B$66:$B$70</definedName>
    <definedName name="ContactorsTable">'规格书 Datasheet'!$B$66:$H$70</definedName>
    <definedName name="DischargeRes">'预充电放电 PrechargeDischarge'!$J$6</definedName>
    <definedName name="ErrorText">"WARNING"</definedName>
    <definedName name="FuseName">'规格书 Datasheet'!$B$42:$B$53</definedName>
    <definedName name="FuseNames">'规格书 Datasheet'!$B$42:$B$53</definedName>
    <definedName name="FuseNoiCur">'电池箱 Accumulator'!$U$20</definedName>
    <definedName name="FuseNoiCur_BK">'备用电池箱 Spare Accumulator'!$U$34</definedName>
    <definedName name="FusesTable">'规格书 Datasheet'!$B$42:$H$53</definedName>
    <definedName name="FuseTable">'规格书 Datasheet'!$B$42:$H$53</definedName>
    <definedName name="IncompleteText">"BLANK"</definedName>
    <definedName name="InsulationNames">'规格书 Datasheet'!$B$96:$B$105</definedName>
    <definedName name="InsulationsTable">'规格书 Datasheet'!$B$96:$I$105</definedName>
    <definedName name="MaxTSVoltage">'电池箱 Accumulator'!$E$4</definedName>
    <definedName name="MaxTSVoltage_BK">'备用电池箱 Spare Accumulator'!$E$18</definedName>
    <definedName name="NominalTSVoltage">'电池箱 Accumulator'!$E$5</definedName>
    <definedName name="NominalTSVoltage_BK">'备用电池箱 Spare Accumulator'!$E$19</definedName>
    <definedName name="OKText">"OK"</definedName>
    <definedName name="PrechargeRes">'预充电放电 PrechargeDischarge'!$D$6</definedName>
    <definedName name="ResistorsNames">'规格书 Datasheet'!$B$57:$B$62</definedName>
    <definedName name="ResistorsTable">'规格书 Datasheet'!$B$57:$H$62</definedName>
    <definedName name="TotalCells">'电池箱 Accumulator'!$E$6</definedName>
    <definedName name="TotalCells_BK">'备用电池箱 Spare Accumulator'!$E$20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14" l="1"/>
  <c r="O44" i="14"/>
  <c r="H27" i="14"/>
  <c r="H28" i="14"/>
  <c r="H29" i="14"/>
  <c r="H30" i="14"/>
  <c r="H31" i="14"/>
  <c r="H32" i="14"/>
  <c r="H33" i="14"/>
  <c r="H34" i="14"/>
  <c r="H35" i="14"/>
  <c r="H36" i="14"/>
  <c r="H37" i="14"/>
  <c r="H38" i="14"/>
  <c r="H39" i="14"/>
  <c r="H40" i="14"/>
  <c r="H41" i="14"/>
  <c r="H42" i="14"/>
  <c r="H43" i="14"/>
  <c r="H26" i="14"/>
  <c r="F27" i="14"/>
  <c r="F28" i="14"/>
  <c r="F29" i="14"/>
  <c r="F30" i="14"/>
  <c r="F31" i="14"/>
  <c r="F32" i="14"/>
  <c r="F33" i="14"/>
  <c r="F34" i="14"/>
  <c r="F35" i="14"/>
  <c r="F36" i="14"/>
  <c r="F37" i="14"/>
  <c r="F38" i="14"/>
  <c r="F39" i="14"/>
  <c r="F40" i="14"/>
  <c r="F41" i="14"/>
  <c r="F42" i="14"/>
  <c r="F43" i="14"/>
  <c r="F26" i="14"/>
  <c r="E20" i="14"/>
  <c r="E19" i="14"/>
  <c r="E18" i="14"/>
  <c r="B1" i="14"/>
  <c r="AU81" i="7" l="1"/>
  <c r="K19" i="1"/>
  <c r="AU42" i="7"/>
  <c r="AU43" i="7"/>
  <c r="AU41" i="7"/>
  <c r="AU40" i="7"/>
  <c r="AU39" i="7"/>
  <c r="AU38" i="7"/>
  <c r="H106" i="14" l="1"/>
  <c r="H105" i="14"/>
  <c r="H104" i="14"/>
  <c r="H103" i="14"/>
  <c r="H102" i="14"/>
  <c r="H101" i="14"/>
  <c r="Q100" i="14"/>
  <c r="H100" i="14"/>
  <c r="H97" i="14" s="1"/>
  <c r="Q99" i="14"/>
  <c r="Q97" i="14" s="1"/>
  <c r="H99" i="14"/>
  <c r="Q98" i="14"/>
  <c r="H98" i="14"/>
  <c r="H70" i="14"/>
  <c r="Q69" i="14"/>
  <c r="H69" i="14"/>
  <c r="Z68" i="14"/>
  <c r="Q68" i="14"/>
  <c r="H68" i="14"/>
  <c r="BA67" i="14"/>
  <c r="BA66" i="14" s="1"/>
  <c r="AR67" i="14"/>
  <c r="AR66" i="14" s="1"/>
  <c r="AI67" i="14"/>
  <c r="Z67" i="14"/>
  <c r="Z66" i="14" s="1"/>
  <c r="Q67" i="14"/>
  <c r="H67" i="14"/>
  <c r="H66" i="14" s="1"/>
  <c r="AI66" i="14"/>
  <c r="Q43" i="14"/>
  <c r="J43" i="14"/>
  <c r="Q42" i="14"/>
  <c r="J42" i="14"/>
  <c r="Q41" i="14"/>
  <c r="J41" i="14"/>
  <c r="J40" i="14"/>
  <c r="Q39" i="14"/>
  <c r="J39" i="14"/>
  <c r="Q38" i="14"/>
  <c r="J38" i="14"/>
  <c r="Q37" i="14"/>
  <c r="J37" i="14"/>
  <c r="J36" i="14"/>
  <c r="U35" i="14"/>
  <c r="O35" i="14"/>
  <c r="Q35" i="14" s="1"/>
  <c r="J35" i="14"/>
  <c r="U34" i="14"/>
  <c r="Q34" i="14"/>
  <c r="J34" i="14"/>
  <c r="W33" i="14"/>
  <c r="Q33" i="14"/>
  <c r="J33" i="14"/>
  <c r="AB32" i="14"/>
  <c r="AD32" i="14" s="1"/>
  <c r="Q32" i="14"/>
  <c r="J32" i="14"/>
  <c r="AB31" i="14"/>
  <c r="AD31" i="14" s="1"/>
  <c r="U31" i="14"/>
  <c r="W31" i="14" s="1"/>
  <c r="Q31" i="14"/>
  <c r="J31" i="14"/>
  <c r="AB30" i="14"/>
  <c r="AD30" i="14" s="1"/>
  <c r="U30" i="14"/>
  <c r="J30" i="14"/>
  <c r="AD29" i="14"/>
  <c r="U29" i="14"/>
  <c r="W29" i="14" s="1"/>
  <c r="Q29" i="14"/>
  <c r="J29" i="14"/>
  <c r="AB28" i="14"/>
  <c r="AD28" i="14" s="1"/>
  <c r="W28" i="14"/>
  <c r="Q28" i="14"/>
  <c r="J28" i="14"/>
  <c r="AK27" i="14"/>
  <c r="AB27" i="14"/>
  <c r="AD27" i="14" s="1"/>
  <c r="Q27" i="14"/>
  <c r="J27" i="14"/>
  <c r="AK26" i="14"/>
  <c r="AD26" i="14"/>
  <c r="U26" i="14"/>
  <c r="Q26" i="14"/>
  <c r="J26" i="14"/>
  <c r="AK25" i="14"/>
  <c r="AB25" i="14"/>
  <c r="AD25" i="14" s="1"/>
  <c r="W25" i="14"/>
  <c r="Q25" i="14"/>
  <c r="AK24" i="14"/>
  <c r="AB24" i="14"/>
  <c r="AD24" i="14" s="1"/>
  <c r="U24" i="14"/>
  <c r="W24" i="14" s="1"/>
  <c r="Q24" i="14"/>
  <c r="AK23" i="14"/>
  <c r="AD23" i="14"/>
  <c r="W23" i="14"/>
  <c r="Q23" i="14"/>
  <c r="J23" i="14"/>
  <c r="G17" i="14"/>
  <c r="H88" i="13"/>
  <c r="AK9" i="13"/>
  <c r="Z37" i="6"/>
  <c r="Z36" i="6"/>
  <c r="Z35" i="6"/>
  <c r="Z34" i="6"/>
  <c r="Z32" i="9"/>
  <c r="Q86" i="13"/>
  <c r="Q85" i="13"/>
  <c r="Q84" i="13"/>
  <c r="I54" i="10"/>
  <c r="I24" i="10"/>
  <c r="AU87" i="7"/>
  <c r="AU86" i="7"/>
  <c r="Q66" i="14" l="1"/>
  <c r="AK22" i="14"/>
  <c r="W35" i="14"/>
  <c r="W22" i="14" s="1"/>
  <c r="Q44" i="14"/>
  <c r="Q22" i="14" s="1"/>
  <c r="J22" i="14"/>
  <c r="G18" i="14"/>
  <c r="G19" i="14"/>
  <c r="AD22" i="14"/>
  <c r="Q83" i="13"/>
  <c r="H92" i="13"/>
  <c r="H91" i="13"/>
  <c r="H90" i="13"/>
  <c r="H89" i="13"/>
  <c r="H87" i="13"/>
  <c r="H86" i="13"/>
  <c r="H85" i="13"/>
  <c r="H84" i="13"/>
  <c r="H56" i="13"/>
  <c r="Q55" i="13"/>
  <c r="H55" i="13"/>
  <c r="Z54" i="13"/>
  <c r="Q54" i="13"/>
  <c r="H54" i="13"/>
  <c r="BA53" i="13"/>
  <c r="BA52" i="13" s="1"/>
  <c r="AR53" i="13"/>
  <c r="AR52" i="13" s="1"/>
  <c r="AI53" i="13"/>
  <c r="AI52" i="13" s="1"/>
  <c r="Z53" i="13"/>
  <c r="Q53" i="13"/>
  <c r="Q52" i="13" s="1"/>
  <c r="H53" i="13"/>
  <c r="H52" i="13" s="1"/>
  <c r="Z52" i="13"/>
  <c r="Q29" i="13"/>
  <c r="J29" i="13"/>
  <c r="F29" i="13"/>
  <c r="H29" i="13" s="1"/>
  <c r="Q28" i="13"/>
  <c r="J28" i="13"/>
  <c r="F28" i="13"/>
  <c r="H28" i="13" s="1"/>
  <c r="Q27" i="13"/>
  <c r="J27" i="13"/>
  <c r="F27" i="13"/>
  <c r="H27" i="13" s="1"/>
  <c r="J26" i="13"/>
  <c r="F26" i="13"/>
  <c r="H26" i="13" s="1"/>
  <c r="Q25" i="13"/>
  <c r="J25" i="13"/>
  <c r="F25" i="13"/>
  <c r="H25" i="13" s="1"/>
  <c r="Q24" i="13"/>
  <c r="J24" i="13"/>
  <c r="F24" i="13"/>
  <c r="H24" i="13" s="1"/>
  <c r="Q23" i="13"/>
  <c r="J23" i="13"/>
  <c r="F23" i="13"/>
  <c r="H23" i="13" s="1"/>
  <c r="J22" i="13"/>
  <c r="F22" i="13"/>
  <c r="H22" i="13" s="1"/>
  <c r="U21" i="13"/>
  <c r="O21" i="13"/>
  <c r="Q21" i="13" s="1"/>
  <c r="J21" i="13"/>
  <c r="F21" i="13"/>
  <c r="H21" i="13" s="1"/>
  <c r="U20" i="13"/>
  <c r="Q20" i="13"/>
  <c r="J20" i="13"/>
  <c r="F20" i="13"/>
  <c r="H20" i="13" s="1"/>
  <c r="W19" i="13"/>
  <c r="Q19" i="13"/>
  <c r="J19" i="13"/>
  <c r="F19" i="13"/>
  <c r="H19" i="13" s="1"/>
  <c r="AB18" i="13"/>
  <c r="AD18" i="13" s="1"/>
  <c r="Q18" i="13"/>
  <c r="J18" i="13"/>
  <c r="F18" i="13"/>
  <c r="H18" i="13" s="1"/>
  <c r="AB17" i="13"/>
  <c r="AD17" i="13" s="1"/>
  <c r="U17" i="13"/>
  <c r="W17" i="13" s="1"/>
  <c r="Q17" i="13"/>
  <c r="J17" i="13"/>
  <c r="F17" i="13"/>
  <c r="H17" i="13" s="1"/>
  <c r="AB16" i="13"/>
  <c r="AD16" i="13" s="1"/>
  <c r="U16" i="13"/>
  <c r="J16" i="13"/>
  <c r="F16" i="13"/>
  <c r="H16" i="13" s="1"/>
  <c r="AD15" i="13"/>
  <c r="U15" i="13"/>
  <c r="W15" i="13" s="1"/>
  <c r="Q15" i="13"/>
  <c r="J15" i="13"/>
  <c r="F15" i="13"/>
  <c r="H15" i="13" s="1"/>
  <c r="AB14" i="13"/>
  <c r="AD14" i="13" s="1"/>
  <c r="W14" i="13"/>
  <c r="Q14" i="13"/>
  <c r="J14" i="13"/>
  <c r="F14" i="13"/>
  <c r="H14" i="13" s="1"/>
  <c r="AB13" i="13"/>
  <c r="AD13" i="13" s="1"/>
  <c r="Q13" i="13"/>
  <c r="J13" i="13"/>
  <c r="F13" i="13"/>
  <c r="H13" i="13" s="1"/>
  <c r="AK13" i="13"/>
  <c r="AD12" i="13"/>
  <c r="U12" i="13"/>
  <c r="Q12" i="13"/>
  <c r="J12" i="13"/>
  <c r="F12" i="13"/>
  <c r="H12" i="13" s="1"/>
  <c r="AK12" i="13"/>
  <c r="AB11" i="13"/>
  <c r="AD11" i="13" s="1"/>
  <c r="W11" i="13"/>
  <c r="Q11" i="13"/>
  <c r="AK11" i="13"/>
  <c r="AB10" i="13"/>
  <c r="AD10" i="13" s="1"/>
  <c r="U10" i="13"/>
  <c r="W10" i="13" s="1"/>
  <c r="Q10" i="13"/>
  <c r="AK10" i="13"/>
  <c r="AD9" i="13"/>
  <c r="W9" i="13"/>
  <c r="Q9" i="13"/>
  <c r="J9" i="13"/>
  <c r="E6" i="13"/>
  <c r="E5" i="13" a="1"/>
  <c r="E5" i="13" s="1"/>
  <c r="E4" i="13" a="1"/>
  <c r="E4" i="13" s="1"/>
  <c r="G3" i="13"/>
  <c r="I25" i="2"/>
  <c r="Q30" i="9"/>
  <c r="AU91" i="7"/>
  <c r="AU93" i="7"/>
  <c r="AU92" i="7"/>
  <c r="AI61" i="7"/>
  <c r="AI63" i="7"/>
  <c r="AI62" i="7"/>
  <c r="AI60" i="7"/>
  <c r="AI59" i="7"/>
  <c r="AI58" i="7"/>
  <c r="AU96" i="7"/>
  <c r="AU95" i="7"/>
  <c r="AU94" i="7"/>
  <c r="K5" i="1" l="1"/>
  <c r="AK8" i="13"/>
  <c r="O30" i="13"/>
  <c r="Q30" i="13" s="1"/>
  <c r="Q8" i="13" s="1"/>
  <c r="AI55" i="7"/>
  <c r="J8" i="13"/>
  <c r="H83" i="13"/>
  <c r="AD8" i="13"/>
  <c r="W21" i="13"/>
  <c r="W8" i="13" s="1"/>
  <c r="G5" i="13"/>
  <c r="G4" i="13"/>
  <c r="H41" i="2" l="1"/>
  <c r="G41" i="2"/>
  <c r="E4" i="10" l="1" a="1"/>
  <c r="E4" i="10" s="1"/>
  <c r="I77" i="2"/>
  <c r="I78" i="2"/>
  <c r="I79" i="2"/>
  <c r="I80" i="2"/>
  <c r="I81" i="2"/>
  <c r="I82" i="2"/>
  <c r="I83" i="2"/>
  <c r="I84" i="2"/>
  <c r="I85" i="2"/>
  <c r="I86" i="2"/>
  <c r="I87" i="2"/>
  <c r="I88" i="2"/>
  <c r="I89" i="2"/>
  <c r="I90" i="2"/>
  <c r="I91" i="2"/>
  <c r="I92" i="2"/>
  <c r="I76" i="2"/>
  <c r="I75" i="2"/>
  <c r="I68" i="2"/>
  <c r="I69" i="2"/>
  <c r="I70" i="2"/>
  <c r="I67" i="2"/>
  <c r="I59" i="2"/>
  <c r="I60" i="2"/>
  <c r="I61" i="2"/>
  <c r="I62" i="2"/>
  <c r="I58" i="2"/>
  <c r="I57" i="2"/>
  <c r="I44" i="2"/>
  <c r="I45" i="2"/>
  <c r="I46" i="2"/>
  <c r="I47" i="2"/>
  <c r="I48" i="2"/>
  <c r="I49" i="2"/>
  <c r="I50" i="2"/>
  <c r="I51" i="2"/>
  <c r="I52" i="2"/>
  <c r="I53" i="2"/>
  <c r="I43" i="2"/>
  <c r="I19" i="2"/>
  <c r="I20" i="2"/>
  <c r="I21" i="2"/>
  <c r="I22" i="2"/>
  <c r="I23" i="2"/>
  <c r="I24" i="2"/>
  <c r="I26" i="2"/>
  <c r="I27" i="2"/>
  <c r="I28" i="2"/>
  <c r="I29" i="2"/>
  <c r="I30" i="2"/>
  <c r="I31" i="2"/>
  <c r="I32" i="2"/>
  <c r="I33" i="2"/>
  <c r="I34" i="2"/>
  <c r="I35" i="2"/>
  <c r="I36" i="2"/>
  <c r="I37" i="2"/>
  <c r="I38" i="2"/>
  <c r="I18" i="2"/>
  <c r="P6" i="5" l="1"/>
  <c r="J6" i="5"/>
  <c r="O24" i="10" l="1"/>
  <c r="O34" i="10"/>
  <c r="O44" i="10"/>
  <c r="O54" i="10"/>
  <c r="O64" i="10"/>
  <c r="O74" i="10"/>
  <c r="O84" i="10"/>
  <c r="O14" i="10"/>
  <c r="I4" i="10"/>
  <c r="I2" i="10" s="1"/>
  <c r="I34" i="10"/>
  <c r="I44" i="10"/>
  <c r="I64" i="10"/>
  <c r="I74" i="10"/>
  <c r="I84" i="10"/>
  <c r="I14" i="10"/>
  <c r="O4" i="10"/>
  <c r="O2" i="10" s="1"/>
  <c r="E64" i="10"/>
  <c r="E74" i="10"/>
  <c r="E84" i="10"/>
  <c r="E54" i="10"/>
  <c r="E14" i="10"/>
  <c r="E2" i="10" s="1"/>
  <c r="E44" i="10" a="1"/>
  <c r="E44" i="10" s="1"/>
  <c r="E34" i="10" a="1"/>
  <c r="E34" i="10" s="1"/>
  <c r="E24" i="10" a="1"/>
  <c r="E24" i="10" s="1"/>
  <c r="AI32" i="9"/>
  <c r="AI31" i="9"/>
  <c r="AI30" i="9"/>
  <c r="AI36" i="9"/>
  <c r="AI35" i="9"/>
  <c r="AI33" i="9"/>
  <c r="AI34" i="9"/>
  <c r="AI29" i="9"/>
  <c r="Z39" i="9"/>
  <c r="Y39" i="9"/>
  <c r="Z34" i="9"/>
  <c r="Z35" i="9"/>
  <c r="Z36" i="9"/>
  <c r="Z37" i="9"/>
  <c r="Z38" i="9"/>
  <c r="Z33" i="9"/>
  <c r="Z31" i="9"/>
  <c r="Z29" i="9"/>
  <c r="Z28" i="9" s="1"/>
  <c r="W40" i="7"/>
  <c r="W99" i="7"/>
  <c r="W98" i="7"/>
  <c r="W97" i="7"/>
  <c r="W95" i="7" s="1"/>
  <c r="Q29" i="9"/>
  <c r="Q28" i="9"/>
  <c r="H29" i="9"/>
  <c r="H28" i="9" s="1"/>
  <c r="F6" i="9"/>
  <c r="L5" i="9"/>
  <c r="F5" i="9"/>
  <c r="L4" i="9"/>
  <c r="F4" i="9"/>
  <c r="L3" i="9"/>
  <c r="F3" i="9"/>
  <c r="L2" i="9"/>
  <c r="AI28" i="9" l="1"/>
  <c r="F2" i="9"/>
  <c r="Z30" i="9"/>
  <c r="O15" i="1"/>
  <c r="O16" i="1"/>
  <c r="O14" i="1"/>
  <c r="O13" i="1" s="1"/>
  <c r="K12" i="1" s="1"/>
  <c r="S11" i="8"/>
  <c r="H11" i="8"/>
  <c r="S10" i="8"/>
  <c r="H10" i="8"/>
  <c r="S9" i="8"/>
  <c r="H9" i="8"/>
  <c r="S8" i="8"/>
  <c r="H8" i="8"/>
  <c r="S7" i="8"/>
  <c r="H7" i="8"/>
  <c r="S6" i="8"/>
  <c r="S2" i="8" s="1"/>
  <c r="F13" i="8"/>
  <c r="F3" i="8"/>
  <c r="F2" i="8"/>
  <c r="F12" i="8"/>
  <c r="F11" i="8"/>
  <c r="F10" i="8"/>
  <c r="F9" i="8"/>
  <c r="F8" i="8"/>
  <c r="F7" i="8"/>
  <c r="F4" i="8" s="1"/>
  <c r="F8" i="7"/>
  <c r="F7" i="7"/>
  <c r="F6" i="7"/>
  <c r="K61" i="7"/>
  <c r="AU99" i="7"/>
  <c r="AT98" i="7"/>
  <c r="AU98" i="7" s="1"/>
  <c r="AU97" i="7"/>
  <c r="AU90" i="7"/>
  <c r="AU44" i="7"/>
  <c r="BG80" i="7"/>
  <c r="BG79" i="7"/>
  <c r="BG78" i="7"/>
  <c r="AI52" i="7"/>
  <c r="BG76" i="7"/>
  <c r="AI51" i="7"/>
  <c r="AU100" i="7"/>
  <c r="AU48" i="7"/>
  <c r="AU89" i="7"/>
  <c r="AU88" i="7"/>
  <c r="B1" i="8" a="1"/>
  <c r="B1" i="10" a="1"/>
  <c r="Z8" i="9"/>
  <c r="AI49" i="7" l="1"/>
  <c r="B1" i="10"/>
  <c r="K11" i="1" s="1"/>
  <c r="B1" i="8"/>
  <c r="K9" i="1" s="1"/>
  <c r="AU85" i="7"/>
  <c r="AT84" i="7"/>
  <c r="AU84" i="7" s="1"/>
  <c r="AU83" i="7"/>
  <c r="AU82" i="7"/>
  <c r="AT80" i="7"/>
  <c r="AU80" i="7" s="1"/>
  <c r="AU79" i="7"/>
  <c r="AU47" i="7"/>
  <c r="AU78" i="7"/>
  <c r="AU76" i="7" s="1"/>
  <c r="AU46" i="7"/>
  <c r="AT45" i="7"/>
  <c r="AU45" i="7" s="1"/>
  <c r="AU37" i="7"/>
  <c r="AI41" i="7"/>
  <c r="AI40" i="7"/>
  <c r="AI39" i="7"/>
  <c r="AI38" i="7"/>
  <c r="AI37" i="7"/>
  <c r="W41" i="7"/>
  <c r="W39" i="7"/>
  <c r="W38" i="7"/>
  <c r="K97" i="7"/>
  <c r="K98" i="7"/>
  <c r="K99" i="7"/>
  <c r="K62" i="7"/>
  <c r="K60" i="7"/>
  <c r="K59" i="7"/>
  <c r="K58" i="7"/>
  <c r="K57" i="7"/>
  <c r="K56" i="7"/>
  <c r="K55" i="7"/>
  <c r="K54" i="7"/>
  <c r="K53" i="7"/>
  <c r="K52" i="7"/>
  <c r="K51" i="7"/>
  <c r="K50" i="7"/>
  <c r="K49" i="7"/>
  <c r="K48" i="7"/>
  <c r="K47" i="7"/>
  <c r="K46" i="7"/>
  <c r="K45" i="7"/>
  <c r="K44" i="7"/>
  <c r="K43" i="7"/>
  <c r="K42" i="7"/>
  <c r="K41" i="7"/>
  <c r="K40" i="7"/>
  <c r="K39" i="7"/>
  <c r="K38" i="7"/>
  <c r="M6" i="7"/>
  <c r="M8" i="7"/>
  <c r="M7" i="7"/>
  <c r="M5" i="7"/>
  <c r="M4" i="7"/>
  <c r="F5" i="7"/>
  <c r="F4" i="7"/>
  <c r="Z33" i="6"/>
  <c r="Q38" i="6"/>
  <c r="H38" i="6"/>
  <c r="Q37" i="6"/>
  <c r="H37" i="6"/>
  <c r="Q36" i="6"/>
  <c r="H36" i="6"/>
  <c r="Q35" i="6"/>
  <c r="H35" i="6"/>
  <c r="Q34" i="6"/>
  <c r="H34" i="6"/>
  <c r="H31" i="6" s="1"/>
  <c r="Q33" i="6"/>
  <c r="H33" i="6"/>
  <c r="F10" i="6"/>
  <c r="F9" i="6"/>
  <c r="F8" i="6"/>
  <c r="F7" i="6"/>
  <c r="F6" i="6"/>
  <c r="F5" i="6"/>
  <c r="F2" i="6" s="1"/>
  <c r="F4" i="6"/>
  <c r="F3" i="6"/>
  <c r="B1" i="9" a="1"/>
  <c r="Q31" i="6" l="1"/>
  <c r="Z31" i="6"/>
  <c r="W36" i="7"/>
  <c r="B1" i="9"/>
  <c r="K10" i="1" s="1"/>
  <c r="F2" i="7"/>
  <c r="AU35" i="7"/>
  <c r="K95" i="7"/>
  <c r="K36" i="7"/>
  <c r="AI35" i="7"/>
  <c r="M2" i="7"/>
  <c r="B1" i="6" a="1"/>
  <c r="B1" i="6" l="1"/>
  <c r="K7" i="1" s="1"/>
  <c r="P8" i="5"/>
  <c r="P7" i="5"/>
  <c r="J15" i="5"/>
  <c r="L15" i="5" s="1"/>
  <c r="J14" i="5"/>
  <c r="J13" i="5"/>
  <c r="J8" i="5"/>
  <c r="L8" i="5" s="1"/>
  <c r="J7" i="5"/>
  <c r="L7" i="5" s="1"/>
  <c r="D19" i="5"/>
  <c r="D18" i="5"/>
  <c r="F8" i="5"/>
  <c r="D6" i="5"/>
  <c r="D14" i="5" s="1"/>
  <c r="F11" i="5"/>
  <c r="D9" i="5"/>
  <c r="D7" i="5"/>
  <c r="F17" i="5"/>
  <c r="L12" i="5"/>
  <c r="F10" i="5"/>
  <c r="R5" i="5"/>
  <c r="L5" i="5"/>
  <c r="F5" i="5"/>
  <c r="R4" i="5"/>
  <c r="L4" i="5"/>
  <c r="F4" i="5"/>
  <c r="R3" i="5"/>
  <c r="L3" i="5"/>
  <c r="F3" i="5"/>
  <c r="P9" i="5" l="1"/>
  <c r="F18" i="5"/>
  <c r="D12" i="5"/>
  <c r="L13" i="5"/>
  <c r="R8" i="5"/>
  <c r="F9" i="5"/>
  <c r="R6" i="5"/>
  <c r="J11" i="5"/>
  <c r="D13" i="5"/>
  <c r="F19" i="5" s="1"/>
  <c r="J9" i="5"/>
  <c r="J10" i="5"/>
  <c r="L14" i="5" s="1"/>
  <c r="D15" i="5"/>
  <c r="D16" i="5" s="1"/>
  <c r="K18" i="1"/>
  <c r="L2" i="5" l="1"/>
  <c r="R9" i="5"/>
  <c r="R7" i="5"/>
  <c r="R2" i="5"/>
  <c r="F2" i="5"/>
  <c r="K44" i="3"/>
  <c r="K46" i="3"/>
  <c r="K45" i="3"/>
  <c r="W43" i="3"/>
  <c r="K43" i="3"/>
  <c r="W42" i="3"/>
  <c r="K50" i="3"/>
  <c r="K48" i="3" s="1"/>
  <c r="W41" i="3"/>
  <c r="W40" i="3"/>
  <c r="W39" i="3"/>
  <c r="W38" i="3"/>
  <c r="W37" i="3"/>
  <c r="W36" i="3"/>
  <c r="W35" i="3"/>
  <c r="W34" i="3"/>
  <c r="W33" i="3"/>
  <c r="W32" i="3"/>
  <c r="W31" i="3"/>
  <c r="W30" i="3"/>
  <c r="K42" i="3"/>
  <c r="K41" i="3"/>
  <c r="K40" i="3"/>
  <c r="K39" i="3"/>
  <c r="K38" i="3"/>
  <c r="K37" i="3"/>
  <c r="K36" i="3"/>
  <c r="K35" i="3"/>
  <c r="K34" i="3"/>
  <c r="K33" i="3"/>
  <c r="K32" i="3"/>
  <c r="K31" i="3"/>
  <c r="K30" i="3"/>
  <c r="E105" i="2"/>
  <c r="J105" i="2" s="1"/>
  <c r="E104" i="2"/>
  <c r="J104" i="2" s="1"/>
  <c r="E103" i="2"/>
  <c r="J103" i="2" s="1"/>
  <c r="E102" i="2"/>
  <c r="J102" i="2" s="1"/>
  <c r="E101" i="2"/>
  <c r="J101" i="2" s="1"/>
  <c r="E100" i="2"/>
  <c r="J100" i="2" s="1"/>
  <c r="E99" i="2"/>
  <c r="J99" i="2" s="1"/>
  <c r="E98" i="2"/>
  <c r="J98" i="2" s="1"/>
  <c r="E97" i="2"/>
  <c r="J97" i="2" s="1"/>
  <c r="E96" i="2"/>
  <c r="J96" i="2" s="1"/>
  <c r="I74" i="2"/>
  <c r="I72" i="2" s="1"/>
  <c r="I66" i="2"/>
  <c r="I64" i="2" s="1"/>
  <c r="I55" i="2"/>
  <c r="K28" i="3" l="1"/>
  <c r="W28" i="3"/>
  <c r="J94" i="2"/>
  <c r="I42" i="2" l="1"/>
  <c r="I17" i="2"/>
  <c r="I15" i="2"/>
  <c r="I40" i="2" l="1"/>
  <c r="E2" i="2"/>
  <c r="B1" i="5" a="1"/>
  <c r="B1" i="5" l="1"/>
  <c r="K6" i="1" s="1"/>
  <c r="B1" i="3" a="1"/>
  <c r="B1" i="3" l="1"/>
  <c r="Z8" i="7"/>
  <c r="B1" i="13"/>
  <c r="B1" i="7"/>
  <c r="B1" i="2"/>
  <c r="K4" i="1" l="1"/>
  <c r="K3" i="1"/>
  <c r="K2" i="1"/>
  <c r="K8" i="1"/>
  <c r="M2" i="1"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<sst xmlns="http://schemas.openxmlformats.org/spreadsheetml/2006/main" count="986" uniqueCount="558">
  <si>
    <t>V</t>
  </si>
  <si>
    <t>V</t>
    <phoneticPr fontId="12" type="noConversion"/>
  </si>
  <si>
    <t>A</t>
  </si>
  <si>
    <t>A</t>
    <phoneticPr fontId="12" type="noConversion"/>
  </si>
  <si>
    <t>Ahr</t>
  </si>
  <si>
    <t>C</t>
  </si>
  <si>
    <t>`</t>
    <phoneticPr fontId="12" type="noConversion"/>
  </si>
  <si>
    <t>TSMPs</t>
  </si>
  <si>
    <t>AIRs</t>
    <phoneticPr fontId="12" type="noConversion"/>
  </si>
  <si>
    <t>IMD</t>
    <phoneticPr fontId="12" type="noConversion"/>
  </si>
  <si>
    <t>HVD</t>
    <phoneticPr fontId="12" type="noConversion"/>
  </si>
  <si>
    <t>BMS</t>
  </si>
  <si>
    <t>cm</t>
  </si>
  <si>
    <t>mm</t>
  </si>
  <si>
    <t>cells</t>
  </si>
  <si>
    <t>%</t>
  </si>
  <si>
    <r>
      <t>W/(m</t>
    </r>
    <r>
      <rPr>
        <sz val="11"/>
        <color theme="1"/>
        <rFont val="等线"/>
        <family val="3"/>
        <charset val="134"/>
        <scheme val="minor"/>
      </rPr>
      <t>∙K)</t>
    </r>
  </si>
  <si>
    <t>其他位置说明</t>
    <phoneticPr fontId="12" type="noConversion"/>
  </si>
  <si>
    <t>温度传感器</t>
    <phoneticPr fontId="12" type="noConversion"/>
  </si>
  <si>
    <t>AIR</t>
  </si>
  <si>
    <t>Ohms</t>
  </si>
  <si>
    <t>W</t>
  </si>
  <si>
    <t>mF</t>
  </si>
  <si>
    <t>sec</t>
  </si>
  <si>
    <t>s</t>
  </si>
  <si>
    <t>J</t>
  </si>
  <si>
    <t>%</t>
    <phoneticPr fontId="12" type="noConversion"/>
  </si>
  <si>
    <t>W</t>
    <phoneticPr fontId="12" type="noConversion"/>
  </si>
  <si>
    <t>kW</t>
  </si>
  <si>
    <t>IMD</t>
  </si>
  <si>
    <t>AIRs</t>
  </si>
  <si>
    <t>kΩ</t>
  </si>
  <si>
    <t>BSPD</t>
  </si>
  <si>
    <t>TSMS</t>
  </si>
  <si>
    <t>LVMS</t>
    <phoneticPr fontId="12" type="noConversion"/>
  </si>
  <si>
    <t>TSAL</t>
    <phoneticPr fontId="12" type="noConversion"/>
  </si>
  <si>
    <t>绿灯和红灯必须可以同时亮起（禁止电路存在二元选择的逻辑）</t>
    <phoneticPr fontId="12" type="noConversion"/>
  </si>
  <si>
    <t>驱动系统测点物理位置</t>
    <phoneticPr fontId="12" type="noConversion"/>
  </si>
  <si>
    <t>第二章 12.8.6</t>
    <phoneticPr fontId="12" type="noConversion"/>
  </si>
  <si>
    <t>APPS</t>
    <phoneticPr fontId="12" type="noConversion"/>
  </si>
  <si>
    <t>锂电池低压电池电芯电压温度采样</t>
    <phoneticPr fontId="12" type="noConversion"/>
  </si>
  <si>
    <t>修订历史</t>
    <phoneticPr fontId="12" type="noConversion"/>
  </si>
  <si>
    <t>v1.0</t>
    <phoneticPr fontId="12" type="noConversion"/>
  </si>
  <si>
    <t>说明</t>
    <phoneticPr fontId="12" type="noConversion"/>
  </si>
  <si>
    <t>首次发布</t>
    <phoneticPr fontId="12" type="noConversion"/>
  </si>
  <si>
    <t>规则版本</t>
    <phoneticPr fontId="12" type="noConversion"/>
  </si>
  <si>
    <t>日期</t>
    <phoneticPr fontId="12" type="noConversion"/>
  </si>
  <si>
    <t>2023 答题修订版</t>
    <phoneticPr fontId="12" type="noConversion"/>
  </si>
  <si>
    <t>v1.1</t>
    <phoneticPr fontId="12" type="noConversion"/>
  </si>
  <si>
    <t>发布版本 1.1</t>
    <phoneticPr fontId="12" type="noConversion"/>
  </si>
  <si>
    <t>2024 答题修订版</t>
  </si>
  <si>
    <r>
      <t xml:space="preserve">- 所有橙色背景的单元格均需要填写
- 蓝色背景的单元格是自动生成的检查结果
- 图片必须放置在指定区域上并且高清且横纵比正常。图片需要能够被放大以进行进一步审核
- 所有要求规格书的都应该在规定位置提供下载超链接,优先放置供应商公开网址的信息,允许车队提供的网盘,但是分享链接应当是无密码且长期有效的。链接不必完整显示在文档中
- 禁止链接到淘宝产品介绍页面
- 额外补充信息仅在审核员特殊要求时填写
- </t>
    </r>
    <r>
      <rPr>
        <b/>
        <sz val="11"/>
        <rFont val="等线"/>
        <family val="3"/>
        <charset val="134"/>
        <scheme val="minor"/>
      </rPr>
      <t>完成后删除所有的此单元格以外的样例(橙色图片)/说明性文字（斜体）</t>
    </r>
    <r>
      <rPr>
        <sz val="11"/>
        <rFont val="等线"/>
        <family val="2"/>
        <scheme val="minor"/>
      </rPr>
      <t xml:space="preserve">
- 由于反馈更改的内容必须要标为</t>
    </r>
    <r>
      <rPr>
        <sz val="11"/>
        <color rgb="FFFF0000"/>
        <rFont val="等线"/>
        <family val="3"/>
        <charset val="134"/>
        <scheme val="minor"/>
      </rPr>
      <t>红色</t>
    </r>
    <r>
      <rPr>
        <sz val="11"/>
        <rFont val="等线"/>
        <family val="2"/>
        <scheme val="minor"/>
      </rPr>
      <t>。未标红视为未更改。请仅标红当前最新更改部分
- 无论当前是否已经对ESF予以通过，任何未经许可的对自动检查表格模板的修改/破解将导致该车队本年度的电检资格取消。
- 自动检查通过并不代表ESF必然获得通过
————
- All cells with an orange background need to be filled out
- Cells with a blue background are automatically generated inspection results
- Images must be clear and recognizable
- All required specifications should provide download hyperlinks in the designated location. Preference should be given to publicly accessible URLs from suppliers. Cloud drives provided by the team are allowed, but the shared links should be password-free and long-term valid. The links do not need to be fully displayed in the document.
- Linking to online vendor product introduction pages is prohibited。 
- Additional comments should only be filled in upon special request from the auditor.
-</t>
    </r>
    <r>
      <rPr>
        <b/>
        <sz val="11"/>
        <rFont val="等线"/>
        <family val="3"/>
        <charset val="134"/>
        <scheme val="minor"/>
      </rPr>
      <t xml:space="preserve"> After completion, delete all examples (orange images)/explanatory text (italic) except for this cell.
-</t>
    </r>
    <r>
      <rPr>
        <sz val="11"/>
        <rFont val="等线"/>
        <family val="3"/>
        <charset val="134"/>
        <scheme val="minor"/>
      </rPr>
      <t xml:space="preserve"> Changes made due to feedback must be marked in </t>
    </r>
    <r>
      <rPr>
        <sz val="11"/>
        <color rgb="FFFF0000"/>
        <rFont val="等线"/>
        <family val="3"/>
        <charset val="134"/>
        <scheme val="minor"/>
      </rPr>
      <t>red</t>
    </r>
    <r>
      <rPr>
        <sz val="11"/>
        <rFont val="等线"/>
        <family val="3"/>
        <charset val="134"/>
        <scheme val="minor"/>
      </rPr>
      <t>. Changes not marked in red will be considered unmodified. Please only mark the most recent changes in red.
- Regardless of whether the ESF has currently been approved, any unauthorized modifications/hacks to the automated checklist template will result in the team's disqualification from the electrical inspection for the current year.
- Passing the automated check does not guarantee that the ESF will be approved.</t>
    </r>
    <phoneticPr fontId="12" type="noConversion"/>
  </si>
  <si>
    <t>规格书 Datasheets</t>
    <phoneticPr fontId="12" type="noConversion"/>
  </si>
  <si>
    <t>驱动系统原理图 TS Schematics</t>
    <phoneticPr fontId="12" type="noConversion"/>
  </si>
  <si>
    <t>电池箱 Accumulator</t>
    <phoneticPr fontId="12" type="noConversion"/>
  </si>
  <si>
    <t>预充电/放电回路 Precharge/Discharge</t>
    <phoneticPr fontId="12" type="noConversion"/>
  </si>
  <si>
    <t>充电系统 Charging</t>
    <phoneticPr fontId="12" type="noConversion"/>
  </si>
  <si>
    <t>安全系统 Shutdown circuits</t>
    <phoneticPr fontId="12" type="noConversion"/>
  </si>
  <si>
    <t>扭矩输出 Torque security</t>
    <phoneticPr fontId="12" type="noConversion"/>
  </si>
  <si>
    <t>其他 Other</t>
    <phoneticPr fontId="12" type="noConversion"/>
  </si>
  <si>
    <t>接地 Grounding</t>
    <phoneticPr fontId="12" type="noConversion"/>
  </si>
  <si>
    <t>车队信息 Team info</t>
    <phoneticPr fontId="12" type="noConversion"/>
  </si>
  <si>
    <t>结果汇总 Status</t>
    <phoneticPr fontId="12" type="noConversion"/>
  </si>
  <si>
    <t>文档填写要求 Document Filling Requirements</t>
    <phoneticPr fontId="12" type="noConversion"/>
  </si>
  <si>
    <t>最终结果 Overall Results</t>
    <phoneticPr fontId="12" type="noConversion"/>
  </si>
  <si>
    <t>学校 University</t>
    <phoneticPr fontId="12" type="noConversion"/>
  </si>
  <si>
    <t>车队名称 Team</t>
    <phoneticPr fontId="12" type="noConversion"/>
  </si>
  <si>
    <t>车号 Car Number</t>
    <phoneticPr fontId="12" type="noConversion"/>
  </si>
  <si>
    <t>驱动系统最大电压 Max TS voltage</t>
    <phoneticPr fontId="12" type="noConversion"/>
  </si>
  <si>
    <t>主保险丝额定电流 Accumulator</t>
    <phoneticPr fontId="12" type="noConversion"/>
  </si>
  <si>
    <t>Additional Comment - 1</t>
    <phoneticPr fontId="12" type="noConversion"/>
  </si>
  <si>
    <t>Additional Comment - 2</t>
    <phoneticPr fontId="12" type="noConversion"/>
  </si>
  <si>
    <t>状态 Status</t>
    <phoneticPr fontId="12" type="noConversion"/>
  </si>
  <si>
    <t>电芯单体 Battery Cell</t>
    <phoneticPr fontId="12" type="noConversion"/>
  </si>
  <si>
    <t>制造商 Make</t>
    <phoneticPr fontId="12" type="noConversion"/>
  </si>
  <si>
    <t>型号 Model</t>
    <phoneticPr fontId="12" type="noConversion"/>
  </si>
  <si>
    <t>额定容量 Nominal Capacity</t>
    <phoneticPr fontId="12" type="noConversion"/>
  </si>
  <si>
    <t>最大电压 Maximum Voltage</t>
    <phoneticPr fontId="12" type="noConversion"/>
  </si>
  <si>
    <t>额定电压 Nominal Voltage</t>
    <phoneticPr fontId="12" type="noConversion"/>
  </si>
  <si>
    <t>最小电压 Minimum Voltage</t>
    <phoneticPr fontId="12" type="noConversion"/>
  </si>
  <si>
    <t>最大瞬时输出电流 Max output current</t>
    <phoneticPr fontId="12" type="noConversion"/>
  </si>
  <si>
    <t>最大连续输出电流 Max continous current</t>
    <phoneticPr fontId="12" type="noConversion"/>
  </si>
  <si>
    <t>最大工作温度 Max Cell temp</t>
    <phoneticPr fontId="12" type="noConversion"/>
  </si>
  <si>
    <t>电芯化学类型 Cell Chemistry</t>
    <phoneticPr fontId="12" type="noConversion"/>
  </si>
  <si>
    <t>说明书超链接 Link to Datasheet</t>
    <phoneticPr fontId="12" type="noConversion"/>
  </si>
  <si>
    <t>导体信息 Conductors</t>
    <phoneticPr fontId="12" type="noConversion"/>
  </si>
  <si>
    <t>制造商 Manufacturer</t>
    <phoneticPr fontId="12" type="noConversion"/>
  </si>
  <si>
    <t>型号 Part number</t>
    <phoneticPr fontId="12" type="noConversion"/>
  </si>
  <si>
    <r>
      <t>载流截面积 Size [mm</t>
    </r>
    <r>
      <rPr>
        <sz val="11"/>
        <color theme="1"/>
        <rFont val="等线"/>
        <family val="3"/>
        <charset val="134"/>
        <scheme val="minor"/>
      </rPr>
      <t>2]</t>
    </r>
    <phoneticPr fontId="12" type="noConversion"/>
  </si>
  <si>
    <t>最大工作温度 Max Temp[C]</t>
    <phoneticPr fontId="12" type="noConversion"/>
  </si>
  <si>
    <t>说明书链接 Datasheet Hyperlink</t>
    <phoneticPr fontId="12" type="noConversion"/>
  </si>
  <si>
    <t>位置 Location</t>
    <phoneticPr fontId="12" type="noConversion"/>
  </si>
  <si>
    <t>判定 Auto-check</t>
    <phoneticPr fontId="12" type="noConversion"/>
  </si>
  <si>
    <t>注释 Additional Info</t>
    <phoneticPr fontId="12" type="noConversion"/>
  </si>
  <si>
    <t>规则参考/注释 Rules Reference/Comment</t>
    <phoneticPr fontId="12" type="noConversion"/>
  </si>
  <si>
    <t xml:space="preserve">位置 Location </t>
    <phoneticPr fontId="12" type="noConversion"/>
  </si>
  <si>
    <t>Location List</t>
    <phoneticPr fontId="12" type="noConversion"/>
  </si>
  <si>
    <t>电芯之间 Between cells</t>
    <phoneticPr fontId="12" type="noConversion"/>
  </si>
  <si>
    <t>电芯到AIR Between cells and AIR</t>
    <phoneticPr fontId="12" type="noConversion"/>
  </si>
  <si>
    <t>AIR到电池箱连接器 Between AIR and Acc Connector</t>
    <phoneticPr fontId="12" type="noConversion"/>
  </si>
  <si>
    <t>电池箱到电机控制器 Between Acc and Motor Controller</t>
    <phoneticPr fontId="12" type="noConversion"/>
  </si>
  <si>
    <t>电池箱到能量计Between Acc and Energy Meter</t>
    <phoneticPr fontId="12" type="noConversion"/>
  </si>
  <si>
    <t>能量计到电机控制器 Between Energy Meter and Motor Controller</t>
    <phoneticPr fontId="12" type="noConversion"/>
  </si>
  <si>
    <t>TSMP采样线 TSMP detection wires</t>
    <phoneticPr fontId="12" type="noConversion"/>
  </si>
  <si>
    <t>TSAL采样线  TSAL detection wire</t>
    <phoneticPr fontId="12" type="noConversion"/>
  </si>
  <si>
    <t>电芯单体采样线 Cell Volt Detection</t>
    <phoneticPr fontId="12" type="noConversion"/>
  </si>
  <si>
    <t>电机控制器到电机 Between Motor Controller and Motors</t>
    <phoneticPr fontId="12" type="noConversion"/>
  </si>
  <si>
    <t>HVD到电机控制器, Between Motor Controller and HVD</t>
    <phoneticPr fontId="12" type="noConversion"/>
  </si>
  <si>
    <t>电池箱到HVD Between ACC and HVD</t>
    <phoneticPr fontId="12" type="noConversion"/>
  </si>
  <si>
    <t>预充电回路 Precharge</t>
    <phoneticPr fontId="12" type="noConversion"/>
  </si>
  <si>
    <t>放电回路 Discharge</t>
    <phoneticPr fontId="12" type="noConversion"/>
  </si>
  <si>
    <t>充电机DC侧 Charging DC side</t>
    <phoneticPr fontId="12" type="noConversion"/>
  </si>
  <si>
    <t>充电机AC侧 Charging AC side</t>
    <phoneticPr fontId="12" type="noConversion"/>
  </si>
  <si>
    <t>其他驱动系统 Other TS</t>
    <phoneticPr fontId="12" type="noConversion"/>
  </si>
  <si>
    <t>安全回路 Shutdown circuit</t>
    <phoneticPr fontId="12" type="noConversion"/>
  </si>
  <si>
    <t>其他低压系统 Other LVS</t>
    <phoneticPr fontId="12" type="noConversion"/>
  </si>
  <si>
    <t>额定分断电流 Interrupt (A)</t>
    <phoneticPr fontId="12" type="noConversion"/>
  </si>
  <si>
    <t>过流保护器件 Fuses</t>
    <phoneticPr fontId="12" type="noConversion"/>
  </si>
  <si>
    <t>电阻器 Resistor</t>
    <phoneticPr fontId="12" type="noConversion"/>
  </si>
  <si>
    <r>
      <t>电阻值 Resistance (</t>
    </r>
    <r>
      <rPr>
        <sz val="11"/>
        <color theme="1"/>
        <rFont val="等线"/>
        <family val="2"/>
        <charset val="134"/>
        <scheme val="minor"/>
      </rPr>
      <t>Ω</t>
    </r>
    <r>
      <rPr>
        <sz val="11"/>
        <color theme="1"/>
        <rFont val="等线"/>
        <family val="3"/>
        <charset val="134"/>
        <scheme val="minor"/>
      </rPr>
      <t>)</t>
    </r>
    <phoneticPr fontId="12" type="noConversion"/>
  </si>
  <si>
    <t xml:space="preserve">散热器参数 Heatsink  (°C/W) </t>
    <phoneticPr fontId="12" type="noConversion"/>
  </si>
  <si>
    <t>- 电阻未使用散热片可填写’未使用‘，注意此处并不是要求填写所有使用的电阻，仅关注和驱动系统安全性相关的问题
————
If resistors are not using heat sinks, you can write 'Not used.' Note that this is not a requirement to list all resistors used, but only to focus on issues related to the safety of the TS system.</t>
    <phoneticPr fontId="12" type="noConversion"/>
  </si>
  <si>
    <t>继电器/接触器/MOSFET Relay/Contactor/MOSFET</t>
    <phoneticPr fontId="12" type="noConversion"/>
  </si>
  <si>
    <t>常开/常闭 NO/NC</t>
    <phoneticPr fontId="12" type="noConversion"/>
  </si>
  <si>
    <t>连接器/接插件 Connector</t>
    <phoneticPr fontId="12" type="noConversion"/>
  </si>
  <si>
    <t xml:space="preserve">-注意此处并不是要求填写所有使用的,而是驱动系统关键的继电器
- Note that this is not a requirement to list all used relays, but only the key relays of the TS.
</t>
    <phoneticPr fontId="12" type="noConversion"/>
  </si>
  <si>
    <r>
      <t>导电面积 Size [mm</t>
    </r>
    <r>
      <rPr>
        <sz val="11"/>
        <color theme="1"/>
        <rFont val="等线"/>
        <family val="3"/>
        <charset val="134"/>
        <scheme val="minor"/>
      </rPr>
      <t>2]</t>
    </r>
    <phoneticPr fontId="12" type="noConversion"/>
  </si>
  <si>
    <t>- 注意HVD应当包括在此处
- HVD should be included here</t>
    <phoneticPr fontId="12" type="noConversion"/>
  </si>
  <si>
    <t>绝缘材料 Insulation</t>
    <phoneticPr fontId="12" type="noConversion"/>
  </si>
  <si>
    <t>厚度 Thickness [mm]</t>
    <phoneticPr fontId="12" type="noConversion"/>
  </si>
  <si>
    <t>介电强度 Dielectric strength [V/mm]</t>
    <phoneticPr fontId="12" type="noConversion"/>
  </si>
  <si>
    <t>绝缘电压等级 Insultation level [V]</t>
    <phoneticPr fontId="12" type="noConversion"/>
  </si>
  <si>
    <t>防火等级 Fireproof level</t>
    <phoneticPr fontId="12" type="noConversion"/>
  </si>
  <si>
    <t>注释 Comments</t>
    <phoneticPr fontId="12" type="noConversion"/>
  </si>
  <si>
    <r>
      <t xml:space="preserve">电池箱内部原理图
</t>
    </r>
    <r>
      <rPr>
        <i/>
        <sz val="11"/>
        <color rgb="FF3F3F76"/>
        <rFont val="等线"/>
        <family val="3"/>
        <charset val="134"/>
        <scheme val="minor"/>
      </rPr>
      <t>请参考左图尺寸插入图片</t>
    </r>
    <r>
      <rPr>
        <sz val="11"/>
        <color rgb="FF3F3F76"/>
        <rFont val="等线"/>
        <family val="2"/>
        <charset val="134"/>
        <scheme val="minor"/>
      </rPr>
      <t xml:space="preserve">
Internal schematic diagram of the accumulator box
Please refer to the dimensions of the left diagram to insert the image.</t>
    </r>
    <phoneticPr fontId="12" type="noConversion"/>
  </si>
  <si>
    <t xml:space="preserve">电池以外驱动系统原理图 Vehicle Tractive Schematics </t>
    <phoneticPr fontId="12" type="noConversion"/>
  </si>
  <si>
    <t>展示电池箱以外驱动系统所有细节 Show details of all TS outside of accumulator</t>
    <phoneticPr fontId="12" type="noConversion"/>
  </si>
  <si>
    <t>电池箱被作为一个整体呈现(AIR除外) Accumulator is shown as a single element (without internal details)</t>
    <phoneticPr fontId="12" type="noConversion"/>
  </si>
  <si>
    <t>所有的线径都有标注 All wire guages labeled</t>
    <phoneticPr fontId="12" type="noConversion"/>
  </si>
  <si>
    <t>保险丝位置应当对应其真实物理位置（壳体）Fuse locations represent physical location</t>
    <phoneticPr fontId="12" type="noConversion"/>
  </si>
  <si>
    <t>驱动系统壳体 TS enclosures</t>
    <phoneticPr fontId="12" type="noConversion"/>
  </si>
  <si>
    <t>接插件标注有制造商/型号 Connectors labeled with Make/Model</t>
    <phoneticPr fontId="12" type="noConversion"/>
  </si>
  <si>
    <t>使用通用的原理图符号 Standard schematic symbols used</t>
    <phoneticPr fontId="12" type="noConversion"/>
  </si>
  <si>
    <t>文字放大后清晰 All text iis readable, zooming allowed</t>
    <phoneticPr fontId="12" type="noConversion"/>
  </si>
  <si>
    <t>电机控制器 Motor controllers</t>
    <phoneticPr fontId="12" type="noConversion"/>
  </si>
  <si>
    <t>电机 Motors</t>
    <phoneticPr fontId="12" type="noConversion"/>
  </si>
  <si>
    <t>TSMP没有熔断 TSMP not fused</t>
    <phoneticPr fontId="12" type="noConversion"/>
  </si>
  <si>
    <t>数据记录仪 Energy Meter/Data Logger</t>
    <phoneticPr fontId="12" type="noConversion"/>
  </si>
  <si>
    <t>放电回路 Discharge circuit</t>
    <phoneticPr fontId="12" type="noConversion"/>
  </si>
  <si>
    <t>放电回路未熔断 Discharge not fused</t>
    <phoneticPr fontId="12" type="noConversion"/>
  </si>
  <si>
    <t>至少在其中一副原理图中展示 Must shown on at least one schematic</t>
    <phoneticPr fontId="12" type="noConversion"/>
  </si>
  <si>
    <t>电池箱内部原理图 Accumulator TS Schematic</t>
    <phoneticPr fontId="12" type="noConversion"/>
  </si>
  <si>
    <t>电池箱内部驱动系统细节 Details of all TS circuits within accumulator</t>
    <phoneticPr fontId="12" type="noConversion"/>
  </si>
  <si>
    <t>所有的线径都有标注 All wire gauges labeled</t>
    <phoneticPr fontId="12" type="noConversion"/>
  </si>
  <si>
    <r>
      <t>保险丝距离电源侧线缆的距离(未保护线缆长度</t>
    </r>
    <r>
      <rPr>
        <sz val="11"/>
        <color theme="1"/>
        <rFont val="等线"/>
        <family val="3"/>
        <charset val="134"/>
        <scheme val="minor"/>
      </rPr>
      <t>）</t>
    </r>
    <r>
      <rPr>
        <sz val="11"/>
        <color theme="1"/>
        <rFont val="等线"/>
        <family val="2"/>
        <scheme val="minor"/>
      </rPr>
      <t>Distance from fuses to positive power souces</t>
    </r>
    <phoneticPr fontId="12" type="noConversion"/>
  </si>
  <si>
    <t>保险丝位置应当对应其真实物理位置 Fuse locations represent physical location</t>
    <phoneticPr fontId="12" type="noConversion"/>
  </si>
  <si>
    <t>维护插头 Maintenance plugs</t>
    <phoneticPr fontId="12" type="noConversion"/>
  </si>
  <si>
    <t>电芯（电芯互联的部分可以简略）Cells (intercell connections may be abstracted)</t>
    <phoneticPr fontId="12" type="noConversion"/>
  </si>
  <si>
    <t>电池箱高压指示器 High voltage indicator</t>
    <phoneticPr fontId="12" type="noConversion"/>
  </si>
  <si>
    <t>预充电回路 Precharge circuit</t>
    <phoneticPr fontId="12" type="noConversion"/>
  </si>
  <si>
    <t>预充电回路过流保护 precharge circuit overcurrent protections</t>
    <phoneticPr fontId="12" type="noConversion"/>
  </si>
  <si>
    <t>模组连接关系 Segment-to-Segment Connection</t>
    <phoneticPr fontId="12" type="noConversion"/>
  </si>
  <si>
    <t>电芯串并关系 Cell connection order</t>
    <phoneticPr fontId="12" type="noConversion"/>
  </si>
  <si>
    <t>模组数据 Segement data</t>
    <phoneticPr fontId="12" type="noConversion"/>
  </si>
  <si>
    <t>模组编号 Segement</t>
    <phoneticPr fontId="12" type="noConversion"/>
  </si>
  <si>
    <t>并联数 Parallel cells</t>
    <phoneticPr fontId="12" type="noConversion"/>
  </si>
  <si>
    <t>串联数 Serial cells</t>
    <phoneticPr fontId="12" type="noConversion"/>
  </si>
  <si>
    <t>温度测点数量 Temp sensors</t>
    <phoneticPr fontId="12" type="noConversion"/>
  </si>
  <si>
    <t>电池箱编号 Accumulator number</t>
    <phoneticPr fontId="12" type="noConversion"/>
  </si>
  <si>
    <t>模组最大电压 Max Voltage[V]</t>
    <phoneticPr fontId="12" type="noConversion"/>
  </si>
  <si>
    <t>模组能量 Segement energy [MJ]</t>
    <phoneticPr fontId="12" type="noConversion"/>
  </si>
  <si>
    <t>BMS拓扑 BMS Type</t>
    <phoneticPr fontId="12" type="noConversion"/>
  </si>
  <si>
    <t>BMS来源 BMS source</t>
    <phoneticPr fontId="12" type="noConversion"/>
  </si>
  <si>
    <t>型号 Type</t>
    <phoneticPr fontId="12" type="noConversion"/>
  </si>
  <si>
    <t>驱动系统到低压控制系统绝缘电压 Galvanic Isolation TS to LVS</t>
    <phoneticPr fontId="12" type="noConversion"/>
  </si>
  <si>
    <t>模组间绝缘电压 Galvanic Isolation between segments</t>
    <phoneticPr fontId="12" type="noConversion"/>
  </si>
  <si>
    <t>隔离器件  Galvanic Isolation devices</t>
    <phoneticPr fontId="12" type="noConversion"/>
  </si>
  <si>
    <t>隔离器件说明书  Galvanic Isolation devices datasheets</t>
    <phoneticPr fontId="12" type="noConversion"/>
  </si>
  <si>
    <t>电芯电压测量 Voltage Sense Leads</t>
    <phoneticPr fontId="12" type="noConversion"/>
  </si>
  <si>
    <t>最长采样线线缆长度 Max lead length</t>
    <phoneticPr fontId="12" type="noConversion"/>
  </si>
  <si>
    <t>采样线过流保护器件型号 Sense lead overprotection device</t>
    <phoneticPr fontId="12" type="noConversion"/>
  </si>
  <si>
    <t>过流保护器件位置 Overcurrent protection device location</t>
    <phoneticPr fontId="12" type="noConversion"/>
  </si>
  <si>
    <t>过流保护电压等级 Overcurrent voltage rating</t>
    <phoneticPr fontId="12" type="noConversion"/>
  </si>
  <si>
    <t>温度传感器位置 Temp sensor location</t>
    <phoneticPr fontId="12" type="noConversion"/>
  </si>
  <si>
    <t xml:space="preserve">距离极耳距离 Distance to terminal </t>
    <phoneticPr fontId="12" type="noConversion"/>
  </si>
  <si>
    <t>单个测点测量的电芯数量 Cells sensed per sensor</t>
    <phoneticPr fontId="12" type="noConversion"/>
  </si>
  <si>
    <t>导热材料型号(如果有) Thermal contact material (if used)</t>
    <phoneticPr fontId="12" type="noConversion"/>
  </si>
  <si>
    <t>导热材料说明书链接 Thermal contact material datasheet</t>
    <phoneticPr fontId="12" type="noConversion"/>
  </si>
  <si>
    <t>导热材料热导率 Thermal contact material conductivity</t>
    <phoneticPr fontId="12" type="noConversion"/>
  </si>
  <si>
    <t>导热材料厚度 Thermal contact material thickness</t>
    <phoneticPr fontId="12" type="noConversion"/>
  </si>
  <si>
    <t>温度测量覆盖率 Precentage of cells sensed</t>
    <phoneticPr fontId="12" type="noConversion"/>
  </si>
  <si>
    <t>维护插头 Maintenance Plugs</t>
    <phoneticPr fontId="12" type="noConversion"/>
  </si>
  <si>
    <t>接插件/连接器 Connector</t>
    <phoneticPr fontId="12" type="noConversion"/>
  </si>
  <si>
    <t>额定电流 Ampacity</t>
    <phoneticPr fontId="12" type="noConversion"/>
  </si>
  <si>
    <t>对应保险丝 Fuse provides protections</t>
    <phoneticPr fontId="12" type="noConversion"/>
  </si>
  <si>
    <t>保险丝额定电流 Fuse ampacity</t>
    <phoneticPr fontId="12" type="noConversion"/>
  </si>
  <si>
    <t>型号 Make/Model</t>
    <phoneticPr fontId="12" type="noConversion"/>
  </si>
  <si>
    <t>Vdc</t>
    <phoneticPr fontId="12" type="noConversion"/>
  </si>
  <si>
    <t>最大分断电流 Max switching current</t>
    <phoneticPr fontId="12" type="noConversion"/>
  </si>
  <si>
    <t>触点额定电压 Contactnoimal volatge</t>
    <phoneticPr fontId="12" type="noConversion"/>
  </si>
  <si>
    <t>额定电流 Max continuous current</t>
    <phoneticPr fontId="12" type="noConversion"/>
  </si>
  <si>
    <t>主保险丝 Main Fuse</t>
    <phoneticPr fontId="12" type="noConversion"/>
  </si>
  <si>
    <t>额定电流 Max fuse ampacity</t>
    <phoneticPr fontId="12" type="noConversion"/>
  </si>
  <si>
    <t>额定电压 Main fuse voltage</t>
    <phoneticPr fontId="12" type="noConversion"/>
  </si>
  <si>
    <t>绝缘材料 Insulating Materials</t>
    <phoneticPr fontId="12" type="noConversion"/>
  </si>
  <si>
    <t>电压等级 Voltage Rating</t>
    <phoneticPr fontId="12" type="noConversion"/>
  </si>
  <si>
    <t>温度等级 Temperature Rating</t>
    <phoneticPr fontId="12" type="noConversion"/>
  </si>
  <si>
    <t>电芯上方覆盖 On top of cells</t>
    <phoneticPr fontId="12" type="noConversion"/>
  </si>
  <si>
    <t>AIR,主保险丝与电芯之间 Between AIRs and Cells</t>
    <phoneticPr fontId="12" type="noConversion"/>
  </si>
  <si>
    <t>防火等级 Flammability Rating</t>
    <phoneticPr fontId="12" type="noConversion"/>
  </si>
  <si>
    <t>补充说明 Additional Comments</t>
    <phoneticPr fontId="12" type="noConversion"/>
  </si>
  <si>
    <t>维护插头示意图/照片 Pictures of Maintenance Plugs</t>
    <phoneticPr fontId="12" type="noConversion"/>
  </si>
  <si>
    <t>防止误插 Unique configurations of plugs</t>
    <phoneticPr fontId="12" type="noConversion"/>
  </si>
  <si>
    <t>非载流面绝缘 Non-conductive on un-necessary surface</t>
    <phoneticPr fontId="12" type="noConversion"/>
  </si>
  <si>
    <t>安装不需要拆除电池箱部件  Accessible without additional desassembly</t>
    <phoneticPr fontId="12" type="noConversion"/>
  </si>
  <si>
    <t>主动锁紧/防松 Postive locking</t>
    <phoneticPr fontId="12" type="noConversion"/>
  </si>
  <si>
    <t>Recommended</t>
    <phoneticPr fontId="12" type="noConversion"/>
  </si>
  <si>
    <t>如果极耳采用紧固件压接，紧固件防松 Positive locking if bolted connections</t>
    <phoneticPr fontId="12" type="noConversion"/>
  </si>
  <si>
    <t>极耳连接以及电芯固定示意图/照片 Picture of Cell Connections</t>
    <phoneticPr fontId="12" type="noConversion"/>
  </si>
  <si>
    <t>极耳不受机械负载 No mechanic load on cell tabs</t>
    <phoneticPr fontId="12" type="noConversion"/>
  </si>
  <si>
    <t>电池箱高压指示器原理图 Accumulator HV indicator</t>
    <phoneticPr fontId="12" type="noConversion"/>
  </si>
  <si>
    <t>电芯在各个方向有限位，且受力面没有过小 Positions limits on all directions, sufficient surface with load</t>
    <phoneticPr fontId="12" type="noConversion"/>
  </si>
  <si>
    <t>高压指示器来源 Indicator source</t>
    <phoneticPr fontId="12" type="noConversion"/>
  </si>
  <si>
    <t>电压传感器绝缘电压  Galvanic Isolation (Vdc)</t>
    <phoneticPr fontId="12" type="noConversion"/>
  </si>
  <si>
    <t>标注所有的驱动系统元器件（包括接插件）的型号和额定电压 All TS components Noimal Voltages</t>
    <phoneticPr fontId="12" type="noConversion"/>
  </si>
  <si>
    <t>原理图清晰可读 Schematic clear and readable</t>
    <phoneticPr fontId="12" type="noConversion"/>
  </si>
  <si>
    <t>隔离器件的说明书超链接 Datasheet of TS/LVS isolation datasee</t>
    <phoneticPr fontId="12" type="noConversion"/>
  </si>
  <si>
    <t>电压传感器说明书超链接 Volatge sense device datasheet</t>
    <phoneticPr fontId="12" type="noConversion"/>
  </si>
  <si>
    <t>标注驱动系统电阻的额定功率(如果有) Noimal power of TS resistor (if exists)</t>
    <phoneticPr fontId="12" type="noConversion"/>
  </si>
  <si>
    <t>如果阈值是固定的，给出计算过程（下方补充说明）If the threshold is fixed, give caculation below</t>
    <phoneticPr fontId="12" type="noConversion"/>
  </si>
  <si>
    <t>补充说明 Additional comments</t>
    <phoneticPr fontId="12" type="noConversion"/>
  </si>
  <si>
    <t>电芯受力面应当占该表面的80% Surface with load: &gt;= 80%</t>
    <phoneticPr fontId="12" type="noConversion"/>
  </si>
  <si>
    <t>规则参考 Rules Ref</t>
    <phoneticPr fontId="12" type="noConversion"/>
  </si>
  <si>
    <t>温度传感器布置图 Picture of Temperature Sensor Location</t>
    <phoneticPr fontId="12" type="noConversion"/>
  </si>
  <si>
    <t>温度传感器直接接触极耳或者总线 Sensor in direct contact with terminal or busbar</t>
    <phoneticPr fontId="12" type="noConversion"/>
  </si>
  <si>
    <t>主保险丝和AIR和电芯分隔 Picture of Fuse and AIR Separation from cells</t>
    <phoneticPr fontId="12" type="noConversion"/>
  </si>
  <si>
    <t>主保险丝和AIR和电芯分隔 Fuse and AIR Separation from cells</t>
    <phoneticPr fontId="12" type="noConversion"/>
  </si>
  <si>
    <t>电芯与电池箱内壁的绝缘 Picture of Segment Insulation between Cell Terminal and Sides of Accumulator Container</t>
    <phoneticPr fontId="12" type="noConversion"/>
  </si>
  <si>
    <t xml:space="preserve">模组绝缘 Segment Insulation </t>
    <phoneticPr fontId="12" type="noConversion"/>
  </si>
  <si>
    <t>电芯和电池箱内部绝缘 Insulation between cells and accumulator</t>
    <phoneticPr fontId="12" type="noConversion"/>
  </si>
  <si>
    <t>模组上方绝缘 Picture of Insulation on Top of Segment</t>
    <phoneticPr fontId="12" type="noConversion"/>
  </si>
  <si>
    <t>模组上方绝缘 Insulation on Top of Segment</t>
    <phoneticPr fontId="12" type="noConversion"/>
  </si>
  <si>
    <t>模组上方绝缘  Insulation on Top of Segment</t>
    <phoneticPr fontId="12" type="noConversion"/>
  </si>
  <si>
    <t>电阻型号 Resistor Type</t>
    <phoneticPr fontId="12" type="noConversion"/>
  </si>
  <si>
    <t>并联数 # parallel</t>
    <phoneticPr fontId="12" type="noConversion"/>
  </si>
  <si>
    <t>串联数 # serial</t>
    <phoneticPr fontId="12" type="noConversion"/>
  </si>
  <si>
    <t>总阻值 Resistance</t>
    <phoneticPr fontId="12" type="noConversion"/>
  </si>
  <si>
    <t>额定功率 Cont power</t>
    <phoneticPr fontId="12" type="noConversion"/>
  </si>
  <si>
    <t>瞬时持续功率(5s) Power @ 5s</t>
    <phoneticPr fontId="12" type="noConversion"/>
  </si>
  <si>
    <t>额定电压 Rated Voltage</t>
    <phoneticPr fontId="12" type="noConversion"/>
  </si>
  <si>
    <t>Vdc</t>
    <phoneticPr fontId="12" type="noConversion"/>
  </si>
  <si>
    <t>总线电容 Bus Capacitance</t>
    <phoneticPr fontId="12" type="noConversion"/>
  </si>
  <si>
    <t>充电截止条件 End of precharge</t>
    <phoneticPr fontId="12" type="noConversion"/>
  </si>
  <si>
    <t>峰值功率 Peak Power</t>
    <phoneticPr fontId="12" type="noConversion"/>
  </si>
  <si>
    <t>峰值电流 Peak Current</t>
    <phoneticPr fontId="12" type="noConversion"/>
  </si>
  <si>
    <t>充电到95% Time to 95%</t>
    <phoneticPr fontId="12" type="noConversion"/>
  </si>
  <si>
    <t>预充电能量95% Energy on res to 95%</t>
    <phoneticPr fontId="12" type="noConversion"/>
  </si>
  <si>
    <t>平均功率 average power</t>
    <phoneticPr fontId="12" type="noConversion"/>
  </si>
  <si>
    <t>预充电继电器 Relay</t>
    <phoneticPr fontId="12" type="noConversion"/>
  </si>
  <si>
    <t>继电器触点额定电压 Contacts rated volatge</t>
    <phoneticPr fontId="12" type="noConversion"/>
  </si>
  <si>
    <t>继电器触点额定电流 Contact rated current</t>
    <phoneticPr fontId="12" type="noConversion"/>
  </si>
  <si>
    <t>放电峰值功率 Peak Power</t>
    <phoneticPr fontId="12" type="noConversion"/>
  </si>
  <si>
    <t>放电峰值电流 Peak Current</t>
    <phoneticPr fontId="12" type="noConversion"/>
  </si>
  <si>
    <t>放电时间 Discharge time</t>
    <phoneticPr fontId="12" type="noConversion"/>
  </si>
  <si>
    <t>放电继电器 Relay</t>
    <phoneticPr fontId="12" type="noConversion"/>
  </si>
  <si>
    <t>继电器触点额定电压  Contacts rated volatge</t>
    <phoneticPr fontId="12" type="noConversion"/>
  </si>
  <si>
    <t>继电器断电状态 Normal State</t>
    <phoneticPr fontId="12" type="noConversion"/>
  </si>
  <si>
    <t>短路功率 Power if short circuit</t>
    <phoneticPr fontId="12" type="noConversion"/>
  </si>
  <si>
    <t>规则参考 Rules ref</t>
    <phoneticPr fontId="12" type="noConversion"/>
  </si>
  <si>
    <t>充电机 Charger</t>
    <phoneticPr fontId="12" type="noConversion"/>
  </si>
  <si>
    <t>说明书超链接 Datasheet link</t>
    <phoneticPr fontId="12" type="noConversion"/>
  </si>
  <si>
    <t>输入电压(市电或工业电) Input Voltage</t>
    <phoneticPr fontId="12" type="noConversion"/>
  </si>
  <si>
    <t>Vac</t>
    <phoneticPr fontId="12" type="noConversion"/>
  </si>
  <si>
    <t>输入电流 Input Current</t>
    <phoneticPr fontId="12" type="noConversion"/>
  </si>
  <si>
    <t>输出电压(定值或范围) Output Voltage</t>
    <phoneticPr fontId="12" type="noConversion"/>
  </si>
  <si>
    <t>输出电流 Output Current</t>
    <phoneticPr fontId="12" type="noConversion"/>
  </si>
  <si>
    <t>补充说明 Additioanl Comments</t>
    <phoneticPr fontId="12" type="noConversion"/>
  </si>
  <si>
    <t>充电驱动系统回路 Charging Tractive System Schematic</t>
    <phoneticPr fontId="12" type="noConversion"/>
  </si>
  <si>
    <t>主保险丝（直流） Main Fuse on DC bus</t>
    <phoneticPr fontId="12" type="noConversion"/>
  </si>
  <si>
    <t>接插件及制造商/型号 Connector with Make/Type</t>
    <phoneticPr fontId="12" type="noConversion"/>
  </si>
  <si>
    <t>标注线径 Wire Gauge</t>
    <phoneticPr fontId="12" type="noConversion"/>
  </si>
  <si>
    <t>充电安全回路 Charging Shutdown Circuit</t>
    <phoneticPr fontId="12" type="noConversion"/>
  </si>
  <si>
    <t>IMD控制的继电器 IMD Controlled powerstage</t>
    <phoneticPr fontId="12" type="noConversion"/>
  </si>
  <si>
    <t>AMS控制的继电器 AMS Controlled powerstage</t>
    <phoneticPr fontId="12" type="noConversion"/>
  </si>
  <si>
    <t>充电急停开关 Shutdown buttons</t>
    <phoneticPr fontId="12" type="noConversion"/>
  </si>
  <si>
    <t>AIRs线圈 AIRs coils</t>
    <phoneticPr fontId="12" type="noConversion"/>
  </si>
  <si>
    <t>充电接插件互锁 Interlock of charging connector</t>
    <phoneticPr fontId="12" type="noConversion"/>
  </si>
  <si>
    <t>充电安全的其他控制继电器(安全回路以外) Other powerstages</t>
    <phoneticPr fontId="12" type="noConversion"/>
  </si>
  <si>
    <t>电池箱小推车 Accumulator Handcart</t>
    <phoneticPr fontId="12" type="noConversion"/>
  </si>
  <si>
    <t>垂直防火墙及高度要求满足 Firewall Height and coverage</t>
    <phoneticPr fontId="12" type="noConversion"/>
  </si>
  <si>
    <t>防冲击措施 Anti-shock</t>
    <phoneticPr fontId="12" type="noConversion"/>
  </si>
  <si>
    <t>触发阈值 Threshold</t>
    <phoneticPr fontId="12" type="noConversion"/>
  </si>
  <si>
    <t>接地线1接地位置 Location of grounding measurement 1</t>
    <phoneticPr fontId="12" type="noConversion"/>
  </si>
  <si>
    <t>接地线2接地位置 Location of grounding measurement 2</t>
    <phoneticPr fontId="12" type="noConversion"/>
  </si>
  <si>
    <t>电流传感器型号 Current Sensor Type</t>
    <phoneticPr fontId="12" type="noConversion"/>
  </si>
  <si>
    <t xml:space="preserve">电流传感器说明书链接 Current Sensor datasheet </t>
    <phoneticPr fontId="12" type="noConversion"/>
  </si>
  <si>
    <t>设定阈值电流(驱动系统) Trip Current (TS)</t>
    <phoneticPr fontId="12" type="noConversion"/>
  </si>
  <si>
    <t>传感器输出@阈值电流 Sensor Output@Trip current</t>
    <phoneticPr fontId="12" type="noConversion"/>
  </si>
  <si>
    <t>传感器测量精度@阈值电流 Accuracy@Trip current</t>
    <phoneticPr fontId="12" type="noConversion"/>
  </si>
  <si>
    <t>安全回路原理图 Shutdown Circuit Schematic</t>
    <phoneticPr fontId="12" type="noConversion"/>
  </si>
  <si>
    <t>2x侧面急停 2x shutdown buttons on both sides</t>
    <phoneticPr fontId="12" type="noConversion"/>
  </si>
  <si>
    <t>驾驶舱急停 Cockpit shutdown button</t>
    <phoneticPr fontId="12" type="noConversion"/>
  </si>
  <si>
    <t>制动超程开关 Brake Over Travel Switch (BOTS)</t>
    <phoneticPr fontId="12" type="noConversion"/>
  </si>
  <si>
    <t>惯性开关 Inertia Switch</t>
    <phoneticPr fontId="12" type="noConversion"/>
  </si>
  <si>
    <t>电池管理系统控制的继电器 AMS controlled powerstage</t>
    <phoneticPr fontId="12" type="noConversion"/>
  </si>
  <si>
    <t>IMD控制的继电器 IMD controlled powerstage</t>
    <phoneticPr fontId="12" type="noConversion"/>
  </si>
  <si>
    <t>HVD互锁 HVD Interlock</t>
    <phoneticPr fontId="12" type="noConversion"/>
  </si>
  <si>
    <t>IMD, AMS, BSPD的继电器是相互独立的 IMD,AMS and BSPD have independent powerstages</t>
    <phoneticPr fontId="12" type="noConversion"/>
  </si>
  <si>
    <t>轮边互锁 Outboard wheel motor interlocks (if exists)</t>
    <phoneticPr fontId="12" type="noConversion"/>
  </si>
  <si>
    <t>低压电池 LVS battery</t>
    <phoneticPr fontId="12" type="noConversion"/>
  </si>
  <si>
    <t>低压系统保险丝 LVS fuse</t>
    <phoneticPr fontId="12" type="noConversion"/>
  </si>
  <si>
    <t>标注线径 Wiring gauge</t>
    <phoneticPr fontId="12" type="noConversion"/>
  </si>
  <si>
    <t>预充电继电器 Precharge relay coil</t>
    <phoneticPr fontId="12" type="noConversion"/>
  </si>
  <si>
    <t>主正线圈 AIR+ coil</t>
    <phoneticPr fontId="12" type="noConversion"/>
  </si>
  <si>
    <t>主负线圈 AIR- coil</t>
    <phoneticPr fontId="12" type="noConversion"/>
  </si>
  <si>
    <t>放电继电器线圈 Discharge relay coil</t>
    <phoneticPr fontId="12" type="noConversion"/>
  </si>
  <si>
    <t>TSMS是最后一个开关(互锁除外) TSMS is the last switch (except for interlocks)</t>
    <phoneticPr fontId="12" type="noConversion"/>
  </si>
  <si>
    <t>LVMS是第一个开关 LVMS is the first switch</t>
    <phoneticPr fontId="12" type="noConversion"/>
  </si>
  <si>
    <t>使用通用的原理图符号 Proper electrical schematic symbols</t>
    <phoneticPr fontId="12" type="noConversion"/>
  </si>
  <si>
    <t>图片高清 Readable with zooming</t>
    <phoneticPr fontId="12" type="noConversion"/>
  </si>
  <si>
    <t>闭合任何一个开关都不能（再）激活驱动系统 Closing any switch will not (re)activate TS</t>
    <phoneticPr fontId="12" type="noConversion"/>
  </si>
  <si>
    <t>高压壳体外的高压接插件互锁 Interlocks on TS connectors outside of an enclosure</t>
    <phoneticPr fontId="12" type="noConversion"/>
  </si>
  <si>
    <t>BSPD原理图 BSPD schematic</t>
    <phoneticPr fontId="12" type="noConversion"/>
  </si>
  <si>
    <t>BSPD电流传感器输入短路/短路保护 BSPD Current Sensor input open/short protection</t>
    <phoneticPr fontId="12" type="noConversion"/>
  </si>
  <si>
    <t>BSPD制动传感器输入短路/短路保护 BSPD Brake Sensor input open/short protection</t>
    <phoneticPr fontId="12" type="noConversion"/>
  </si>
  <si>
    <t xml:space="preserve">自动复位计时部分符合规则要求 Auto-reset timer settings </t>
    <phoneticPr fontId="12" type="noConversion"/>
  </si>
  <si>
    <t>安全回路继电器 Shutdown circuit powerstage</t>
    <phoneticPr fontId="12" type="noConversion"/>
  </si>
  <si>
    <t>TSAL - 分布 TSAL component distribuition</t>
    <phoneticPr fontId="12" type="noConversion"/>
  </si>
  <si>
    <t>注明各个部分位于的实际壳体及系统 Physical locations of all TS components enclosures</t>
    <phoneticPr fontId="12" type="noConversion"/>
  </si>
  <si>
    <t>壳体外信号线注明信号类型(数字,模拟) The type of signal outside enclosures (digital , analog)</t>
    <phoneticPr fontId="12" type="noConversion"/>
  </si>
  <si>
    <t>注明锁存逻辑的位置 Position of the latching logic</t>
    <phoneticPr fontId="12" type="noConversion"/>
  </si>
  <si>
    <t>禁止在壳体外出现无过流保护的驱动系统采样线段落（注明保险丝的物理位置）No TS volatge detection wires outside enclosures if not protected by fuses</t>
    <phoneticPr fontId="12" type="noConversion"/>
  </si>
  <si>
    <t>TSAL - 总体要求 General</t>
    <phoneticPr fontId="12" type="noConversion"/>
  </si>
  <si>
    <t>所有的原理图合并后需要满足下述要求 The schematics jointly shows</t>
    <phoneticPr fontId="12" type="noConversion"/>
  </si>
  <si>
    <t>所有逻辑实现必须是不可编程的纯硬件电路 Non-programmable logic based on hardwares</t>
    <phoneticPr fontId="12" type="noConversion"/>
  </si>
  <si>
    <t>TSAL - 真值表自查 Truth Table</t>
    <phoneticPr fontId="12" type="noConversion"/>
  </si>
  <si>
    <t>请根据车队的设计填写TSAL的状态，在LVS供电的情况下 Based on TSAL design, with LVS power on</t>
    <phoneticPr fontId="12" type="noConversion"/>
  </si>
  <si>
    <t>场景 Scenerios</t>
    <phoneticPr fontId="12" type="noConversion"/>
  </si>
  <si>
    <t>HVD移除就进行上电，预充电开始 Start Precharge without HVD on</t>
    <phoneticPr fontId="12" type="noConversion"/>
  </si>
  <si>
    <t>绿灯 Green</t>
    <phoneticPr fontId="12" type="noConversion"/>
  </si>
  <si>
    <t>红灯 Red</t>
    <phoneticPr fontId="12" type="noConversion"/>
  </si>
  <si>
    <t>绿灯电压检测线开路，但是未开始进行上电操作 Green light voltage detection open, but not activite TS</t>
    <phoneticPr fontId="12" type="noConversion"/>
  </si>
  <si>
    <t>从高压壳体中引出，传输测量结果的低压线开路，但是未开始上电 LVS signal presenting status from TS enclosres open,  but not activite TS</t>
    <phoneticPr fontId="12" type="noConversion"/>
  </si>
  <si>
    <t>未上电时，由于快速推动车辆，电机控制器出现了超过60V的浪涌电压 When AIRs are open there are &gt;60V volatge on motor controllers because of pushing the car too fast</t>
    <phoneticPr fontId="12" type="noConversion"/>
  </si>
  <si>
    <t>电机控制器内高压检测线开路，开始上电 Activate TS when voltage detection in Motor controller open</t>
    <phoneticPr fontId="12" type="noConversion"/>
  </si>
  <si>
    <t>·未上电时，传输绿灯状态的低压SCS信号出现短路或者开路 When AIRs are open, the LVS SCS signal with green light information is short or open</t>
    <phoneticPr fontId="12" type="noConversion"/>
  </si>
  <si>
    <t>TSAL红灯部分电路 TSAL circuit on Red Lights</t>
    <phoneticPr fontId="12" type="noConversion"/>
  </si>
  <si>
    <t>电压检测器件来源 Source of voltage sensors</t>
    <phoneticPr fontId="12" type="noConversion"/>
  </si>
  <si>
    <t>电压传感器说明书超链接 Sensor datasheet</t>
    <phoneticPr fontId="12" type="noConversion"/>
  </si>
  <si>
    <t>原理图清晰可读 Schematic readable</t>
    <phoneticPr fontId="12" type="noConversion"/>
  </si>
  <si>
    <t>隔离器件的说明书超链接 Datasheet of galvanic devices</t>
    <phoneticPr fontId="12" type="noConversion"/>
  </si>
  <si>
    <t>标注驱动系统电阻的额定功率(如果有) Rated power of TS resistors, if used</t>
    <phoneticPr fontId="12" type="noConversion"/>
  </si>
  <si>
    <t>驱动系统电路保险丝型号 Type of TS fuses</t>
    <phoneticPr fontId="12" type="noConversion"/>
  </si>
  <si>
    <t>保险丝额定电压 Rated Voltage of the fuse</t>
    <phoneticPr fontId="12" type="noConversion"/>
  </si>
  <si>
    <t>如果阈值是固定的，给出计算过程（右侧补充说明-2）IF volatge threshold is not adjustable, please give the cacualtion on additional comment -2</t>
    <phoneticPr fontId="12" type="noConversion"/>
  </si>
  <si>
    <t>电压检测结果之间不存在任何可靠性检查 No plausibility check among volatage detections</t>
    <phoneticPr fontId="12" type="noConversion"/>
  </si>
  <si>
    <t>闪烁频率设定电路 Flashing frequency settings</t>
    <phoneticPr fontId="12" type="noConversion"/>
  </si>
  <si>
    <t>TSAL继电器状态检测电路和绿灯逻辑 TSAL green light - status detections and logic</t>
    <phoneticPr fontId="12" type="noConversion"/>
  </si>
  <si>
    <t>AIRs继电器真实状态测量方式 Method of AIR status detections</t>
    <phoneticPr fontId="12" type="noConversion"/>
  </si>
  <si>
    <t>AIR型号 AIR Type</t>
    <phoneticPr fontId="12" type="noConversion"/>
  </si>
  <si>
    <t>AIR说明书超连接 AIR Datasheet Hyperlink</t>
    <phoneticPr fontId="12" type="noConversion"/>
  </si>
  <si>
    <t>辅助触点存在 Auxiliary Contacts exist</t>
    <phoneticPr fontId="12" type="noConversion"/>
  </si>
  <si>
    <t>预充电继电器真实状态测量方式 Method of Precharge relay status detections</t>
    <phoneticPr fontId="12" type="noConversion"/>
  </si>
  <si>
    <t>预充电继电器型号 Precharge relay type</t>
    <phoneticPr fontId="12" type="noConversion"/>
  </si>
  <si>
    <t>预充电继电器说明书超连接 Precharge relay datasheet</t>
    <phoneticPr fontId="12" type="noConversion"/>
  </si>
  <si>
    <t>其他测量原理展示明确 Methods (Others) clearly shown</t>
    <phoneticPr fontId="12" type="noConversion"/>
  </si>
  <si>
    <t>所有驱动系统器件型号，额定电压均有标注，电阻元器件额定功率有标注
Type and rated volatge of all TS components, rated power with TS resistors</t>
    <phoneticPr fontId="12" type="noConversion"/>
  </si>
  <si>
    <t>存在AIR的闭合意图检测 Detections of AIR intentions</t>
    <phoneticPr fontId="12" type="noConversion"/>
  </si>
  <si>
    <t>存在继电器闭合意图和实际状态的可靠性检查，不可靠将导致绿灯熄灭
 Plausibility check between intentions and actual status, which turn off the green light when inplausible</t>
    <phoneticPr fontId="12" type="noConversion"/>
  </si>
  <si>
    <t>电压传感器绝缘电压(V)  Galvanic Isolation level</t>
    <phoneticPr fontId="12" type="noConversion"/>
  </si>
  <si>
    <t>标注所有的驱动系统元器件（包括接插件)的型号和额定电压 Type and rated volatge of all TS components</t>
    <phoneticPr fontId="12" type="noConversion"/>
  </si>
  <si>
    <t>标注驱动系统电阻的额定功率(如果有) Rated Power of all TS resistors if used</t>
    <phoneticPr fontId="12" type="noConversion"/>
  </si>
  <si>
    <t>电压测量部分，如果阈值是固定的，给出计算过程（右侧补充说明-2） IF volatge threshold is not adjustable, please give the cacualtion on additional comment -2</t>
    <phoneticPr fontId="12" type="noConversion"/>
  </si>
  <si>
    <t>存在继电器闭合意图和测量电压的可靠性检查，不可靠将导致绿灯熄灭  Plausibility check between intentions and actual TS voltage , which turn off the green light when inplausible</t>
    <phoneticPr fontId="12" type="noConversion"/>
  </si>
  <si>
    <t>补充说明-2 additional comment 2</t>
    <phoneticPr fontId="12" type="noConversion"/>
  </si>
  <si>
    <t>TSAL通用-锁存逻辑
TSAL general - latching logic</t>
    <phoneticPr fontId="12" type="noConversion"/>
  </si>
  <si>
    <t>TSAL锁存逻辑 TSAL latching logic</t>
    <phoneticPr fontId="12" type="noConversion"/>
  </si>
  <si>
    <t>TSAL绿灯部分存在锁存逻辑 TSALgreen light latch logic</t>
    <phoneticPr fontId="12" type="noConversion"/>
  </si>
  <si>
    <r>
      <t>TSAL红灯部分</t>
    </r>
    <r>
      <rPr>
        <b/>
        <sz val="11"/>
        <color theme="1"/>
        <rFont val="等线"/>
        <family val="3"/>
        <charset val="134"/>
        <scheme val="minor"/>
      </rPr>
      <t>不</t>
    </r>
    <r>
      <rPr>
        <sz val="11"/>
        <color theme="1"/>
        <rFont val="等线"/>
        <family val="2"/>
        <scheme val="minor"/>
      </rPr>
      <t>存在锁存逻辑 No TSAL red light latch logic</t>
    </r>
    <phoneticPr fontId="12" type="noConversion"/>
  </si>
  <si>
    <t>锁存仅能通过重新上电进行重置 Reset by powercycle only</t>
    <phoneticPr fontId="12" type="noConversion"/>
  </si>
  <si>
    <t>状态 status</t>
    <phoneticPr fontId="12" type="noConversion"/>
  </si>
  <si>
    <t>APPS传感器输出类型 Type of APPS sensor output</t>
    <phoneticPr fontId="12" type="noConversion"/>
  </si>
  <si>
    <t>APPS传感器说明书超连接 APPS datasheet</t>
    <phoneticPr fontId="12" type="noConversion"/>
  </si>
  <si>
    <t>APPS 传感器传递函数 APPS transfer function</t>
    <phoneticPr fontId="12" type="noConversion"/>
  </si>
  <si>
    <t>传感器行程 Sensor travel</t>
    <phoneticPr fontId="12" type="noConversion"/>
  </si>
  <si>
    <t>APPS1输出Output [V]</t>
    <phoneticPr fontId="12" type="noConversion"/>
  </si>
  <si>
    <t>APPS2输出 Output[V]</t>
    <phoneticPr fontId="12" type="noConversion"/>
  </si>
  <si>
    <t>除0%行程处以外，禁止传递函数相交 No crossing except at 0%</t>
    <phoneticPr fontId="12" type="noConversion"/>
  </si>
  <si>
    <t>影响扭矩输出路径检查 Torque Control Path Security Checks</t>
    <phoneticPr fontId="12" type="noConversion"/>
  </si>
  <si>
    <t>起点 Source device</t>
    <phoneticPr fontId="12" type="noConversion"/>
  </si>
  <si>
    <t>终点 Destination device</t>
    <phoneticPr fontId="12" type="noConversion"/>
  </si>
  <si>
    <t>通讯方式
communication</t>
    <phoneticPr fontId="12" type="noConversion"/>
  </si>
  <si>
    <t>冗余保护
Redundant</t>
    <phoneticPr fontId="12" type="noConversion"/>
  </si>
  <si>
    <t>超程保护
Out of range</t>
    <phoneticPr fontId="12" type="noConversion"/>
  </si>
  <si>
    <t>相关性保护
Correlation</t>
    <phoneticPr fontId="12" type="noConversion"/>
  </si>
  <si>
    <t>校验和
Checksum</t>
    <phoneticPr fontId="12" type="noConversion"/>
  </si>
  <si>
    <t>超时保护
Timeout</t>
    <phoneticPr fontId="12" type="noConversion"/>
  </si>
  <si>
    <t>其他
Other</t>
    <phoneticPr fontId="12" type="noConversion"/>
  </si>
  <si>
    <t>补充说明 Additional comment</t>
    <phoneticPr fontId="12" type="noConversion"/>
  </si>
  <si>
    <t>电机控制器 Motor Controller</t>
    <phoneticPr fontId="12" type="noConversion"/>
  </si>
  <si>
    <t>说明书超连接 Datasheet</t>
    <phoneticPr fontId="12" type="noConversion"/>
  </si>
  <si>
    <t>高低压系统绝缘电压  Galvanic Isolation voltage</t>
    <phoneticPr fontId="12" type="noConversion"/>
  </si>
  <si>
    <t>说明书超链接 Datasheet hyperlink</t>
    <phoneticPr fontId="12" type="noConversion"/>
  </si>
  <si>
    <t>能量计安装位置CAD/渲染图 Energy Meter Location</t>
    <phoneticPr fontId="12" type="noConversion"/>
  </si>
  <si>
    <t>能量计位置 Location of Energy Meter</t>
    <phoneticPr fontId="12" type="noConversion"/>
  </si>
  <si>
    <t xml:space="preserve"> </t>
    <phoneticPr fontId="12" type="noConversion"/>
  </si>
  <si>
    <t>补充说明 Additional Comment</t>
    <phoneticPr fontId="12" type="noConversion"/>
  </si>
  <si>
    <t>HVD位置及与包络面的关系 HVD location and its relations with the envelop</t>
    <phoneticPr fontId="12" type="noConversion"/>
  </si>
  <si>
    <t>低压电池 LVS Battery</t>
    <phoneticPr fontId="12" type="noConversion"/>
  </si>
  <si>
    <t>低压电池位置CAD/渲染图  LVS Battery Location</t>
    <phoneticPr fontId="12" type="noConversion"/>
  </si>
  <si>
    <t>低压电池布置位置符合规则要求 Location Rules complicant</t>
    <phoneticPr fontId="12" type="noConversion"/>
  </si>
  <si>
    <t>低压电池说明 LVS Battery</t>
    <phoneticPr fontId="12" type="noConversion"/>
  </si>
  <si>
    <t>低压电池制造方式 Source of LVS Battery</t>
    <phoneticPr fontId="12" type="noConversion"/>
  </si>
  <si>
    <t>电池电芯化学类型 Chemical type of cells</t>
    <phoneticPr fontId="12" type="noConversion"/>
  </si>
  <si>
    <t>电芯/电池说明书超连接 Cell datasheet hyperlink</t>
    <phoneticPr fontId="12" type="noConversion"/>
  </si>
  <si>
    <t>串联数 # of serial</t>
    <phoneticPr fontId="12" type="noConversion"/>
  </si>
  <si>
    <t>并联数 # of parallel</t>
    <phoneticPr fontId="12" type="noConversion"/>
  </si>
  <si>
    <t xml:space="preserve">电芯单体最大电压 Max cell voltage [V] </t>
    <phoneticPr fontId="12" type="noConversion"/>
  </si>
  <si>
    <t>电芯单体额定电压 Noimal cell voltage [V]</t>
    <phoneticPr fontId="12" type="noConversion"/>
  </si>
  <si>
    <t>电芯单体最大工作温度 Max cell operation temperature  [C]</t>
    <phoneticPr fontId="12" type="noConversion"/>
  </si>
  <si>
    <t>LVS最大电压 LVS battery pack max voltage [V]</t>
    <phoneticPr fontId="12" type="noConversion"/>
  </si>
  <si>
    <t>v2.0</t>
    <phoneticPr fontId="12" type="noConversion"/>
  </si>
  <si>
    <t>2024双语版本</t>
    <phoneticPr fontId="12" type="noConversion"/>
  </si>
  <si>
    <t>2024规则</t>
    <phoneticPr fontId="12" type="noConversion"/>
  </si>
  <si>
    <t>位置 Parts</t>
    <phoneticPr fontId="12" type="noConversion"/>
  </si>
  <si>
    <t>材料类型 Type of Materials</t>
    <phoneticPr fontId="12" type="noConversion"/>
  </si>
  <si>
    <t>接地点说明图片 Grounding Point picture</t>
    <phoneticPr fontId="12" type="noConversion"/>
  </si>
  <si>
    <t>承受电流强度 Ampacity [A]</t>
    <phoneticPr fontId="12" type="noConversion"/>
  </si>
  <si>
    <t>表-1 基本部件接地要求 Grounding of primary parts</t>
    <phoneticPr fontId="12" type="noConversion"/>
  </si>
  <si>
    <t>主环 Main hoop</t>
    <phoneticPr fontId="12" type="noConversion"/>
  </si>
  <si>
    <t>导电 Conductive</t>
    <phoneticPr fontId="12" type="noConversion"/>
  </si>
  <si>
    <t>请将图片控制在此单元格范围内，并在单元格内填写TRUE
Place the picture in this cell, and replace texts in this cell as 'True'</t>
    <phoneticPr fontId="12" type="noConversion"/>
  </si>
  <si>
    <t>如果不是”导电”材料，本格留空
N/A if not conductive</t>
    <phoneticPr fontId="12" type="noConversion"/>
  </si>
  <si>
    <t>车架/单体壳 Chassis</t>
    <phoneticPr fontId="12" type="noConversion"/>
  </si>
  <si>
    <t>安全带安装点 Harness Mounting points</t>
    <phoneticPr fontId="12" type="noConversion"/>
  </si>
  <si>
    <t>防火墙安装点 Firewall Mounting points</t>
    <phoneticPr fontId="12" type="noConversion"/>
  </si>
  <si>
    <t>防火墙 Firewall</t>
    <phoneticPr fontId="12" type="noConversion"/>
  </si>
  <si>
    <t>前悬架（左右）Front Suspensions (Left and right)</t>
    <phoneticPr fontId="12" type="noConversion"/>
  </si>
  <si>
    <t>后悬架（左右）
Rear Suspensions (Left and right)</t>
    <phoneticPr fontId="12" type="noConversion"/>
  </si>
  <si>
    <t>电池箱通讯接插件
Accunulator communication connector</t>
    <phoneticPr fontId="12" type="noConversion"/>
  </si>
  <si>
    <t>表-2 所有驱动系统10cm以内的碳纤维部件（在表-1中未体现）All carbon fiber parts with in 10cm of TS (not listed in table-1)</t>
    <phoneticPr fontId="12" type="noConversion"/>
  </si>
  <si>
    <t>部件 parts</t>
    <phoneticPr fontId="12" type="noConversion"/>
  </si>
  <si>
    <t>所有驱动系统壳体（在表-1及表-2中未体现）All TS enclosure (not listed in table 1 and 2)</t>
    <phoneticPr fontId="12" type="noConversion"/>
  </si>
  <si>
    <t>请将图片控制在此单元格范围内，并在单元格内填写TRUE
如果确实无任何填写的部件，请在此填写TRUE
请将图片控制在此单元格范围内，并在单元格内填写TRUE
Place the picture in this cell, and replace texts in this cell as 'True'
If not parts in this table, also fill this cell as "True"</t>
    <phoneticPr fontId="12" type="noConversion"/>
  </si>
  <si>
    <t>所有的保险丝都有标注额定电流 All fuses are labeled with their ampacity</t>
    <phoneticPr fontId="12" type="noConversion"/>
  </si>
  <si>
    <t>额定电压 Nominal Voltage [Vdc]</t>
    <phoneticPr fontId="12" type="noConversion"/>
  </si>
  <si>
    <t>额定电压Nominal Voltage [Vdc]</t>
    <phoneticPr fontId="12" type="noConversion"/>
  </si>
  <si>
    <t>额定电流 Nominal Current [A]</t>
    <phoneticPr fontId="12" type="noConversion"/>
  </si>
  <si>
    <t>额定功率 Nominal Power (W)</t>
    <phoneticPr fontId="12" type="noConversion"/>
  </si>
  <si>
    <t>额定电流  Nominal Current [A]</t>
    <phoneticPr fontId="12" type="noConversion"/>
  </si>
  <si>
    <t>电芯及电池箱内壁之间绝缘材料 Between cells and accumulator</t>
    <phoneticPr fontId="12" type="noConversion"/>
  </si>
  <si>
    <t>未直接接触但足够近 Distance from sensor to cell negative terminal sufficienly close</t>
    <phoneticPr fontId="12" type="noConversion"/>
  </si>
  <si>
    <t>充电机额定功率 Rated Power</t>
    <phoneticPr fontId="12" type="noConversion"/>
  </si>
  <si>
    <t>轮边电机互锁保护 Interlocks of outboard motor</t>
    <phoneticPr fontId="12" type="noConversion"/>
  </si>
  <si>
    <t>使用轮边电机？ If outboard motors are used</t>
    <phoneticPr fontId="12" type="noConversion"/>
  </si>
  <si>
    <t>互锁线沿驱动系统线缆布置 Interlock wiring alongside with TS wires</t>
    <phoneticPr fontId="12" type="noConversion"/>
  </si>
  <si>
    <t>互锁线沿悬架布置(其中一根杆即可）Interlock wiring alongside with one of the suspension bars</t>
    <phoneticPr fontId="12" type="noConversion"/>
  </si>
  <si>
    <t>AMS/IMD控制的继电器的锁存原理图 AMS/IMD controlled powerstage latching schematics</t>
    <phoneticPr fontId="12" type="noConversion"/>
  </si>
  <si>
    <t>继电器触点为常开 Powerstage status is open when no power</t>
    <phoneticPr fontId="12" type="noConversion"/>
  </si>
  <si>
    <t>锁存原理明确 Latch methods clear</t>
    <phoneticPr fontId="12" type="noConversion"/>
  </si>
  <si>
    <t>复位方式说明明确 Reset methods clear</t>
    <phoneticPr fontId="12" type="noConversion"/>
  </si>
  <si>
    <t>HVD安装位置CAD/渲染图 HVD Location CAD/renderings</t>
    <phoneticPr fontId="12" type="noConversion"/>
  </si>
  <si>
    <t>HVD位于包络面内 HVD inside rollover envelop</t>
    <phoneticPr fontId="12" type="noConversion"/>
  </si>
  <si>
    <t>电池单体数量 Total cells</t>
    <phoneticPr fontId="12" type="noConversion"/>
  </si>
  <si>
    <t>驱动系统额定电压 Nominal TS voltage</t>
    <phoneticPr fontId="12" type="noConversion"/>
  </si>
  <si>
    <t>Fill upon request 需要时填写</t>
    <phoneticPr fontId="12" type="noConversion"/>
  </si>
  <si>
    <t>补充内容 Additional comments</t>
    <phoneticPr fontId="12" type="noConversion"/>
  </si>
  <si>
    <t>驱动系统电路保险丝型号 TS fuses</t>
    <phoneticPr fontId="12" type="noConversion"/>
  </si>
  <si>
    <t>所有的保险丝都有标注额定电流 All fuses labedled with ampacity</t>
    <phoneticPr fontId="12" type="noConversion"/>
  </si>
  <si>
    <t>电压传感器绝缘电压 Galvanic Isolation level (V)</t>
    <phoneticPr fontId="12" type="noConversion"/>
  </si>
  <si>
    <t>低压电池管理系统来源  LVS BMS source</t>
    <phoneticPr fontId="12" type="noConversion"/>
  </si>
  <si>
    <t>低压电池管理系统型号 BMS Type number</t>
    <phoneticPr fontId="12" type="noConversion"/>
  </si>
  <si>
    <t>低压电池管理系统说明书超链接 Datasheet hyperlink</t>
    <phoneticPr fontId="12" type="noConversion"/>
  </si>
  <si>
    <t>能够至少断开低压电池一极 Able disconnect one of the pole of the battery</t>
    <phoneticPr fontId="12" type="noConversion"/>
  </si>
  <si>
    <t>温度采样点数量占比 Cells measured by temp sensors [%]</t>
    <phoneticPr fontId="12" type="noConversion"/>
  </si>
  <si>
    <t>电压采样点数量占比 Cells measured by voltage sensors [%]</t>
    <phoneticPr fontId="12" type="noConversion"/>
  </si>
  <si>
    <t>上位机通讯展示 Communication with an host interface</t>
    <phoneticPr fontId="12" type="noConversion"/>
  </si>
  <si>
    <t>- 如果有使用三防漆，应当包括在此处
- If conformal coating is used, it should be included here</t>
    <phoneticPr fontId="12" type="noConversion"/>
  </si>
  <si>
    <t>驱动系统测量点 TSMP</t>
    <phoneticPr fontId="12" type="noConversion"/>
  </si>
  <si>
    <t>HVD和空接插件外观不同 HVD and dummy connector appearance not same</t>
    <phoneticPr fontId="12" type="noConversion"/>
  </si>
  <si>
    <t>v2.1</t>
    <phoneticPr fontId="12" type="noConversion"/>
  </si>
  <si>
    <t>2025规则</t>
    <phoneticPr fontId="12" type="noConversion"/>
  </si>
  <si>
    <t>适配规则</t>
    <phoneticPr fontId="12" type="noConversion"/>
  </si>
  <si>
    <t>驱动系统电压范围 Drive system voltage range</t>
    <phoneticPr fontId="12" type="noConversion"/>
  </si>
  <si>
    <t>爬电距离计算值 Calculated creepage distance</t>
    <phoneticPr fontId="12" type="noConversion"/>
  </si>
  <si>
    <t>mm</t>
    <phoneticPr fontId="12" type="noConversion"/>
  </si>
  <si>
    <t>电气间隙计算值 Calculated electrical clearance</t>
    <phoneticPr fontId="12" type="noConversion"/>
  </si>
  <si>
    <t>是否三防胶覆盖 If covered with conformal coating</t>
    <phoneticPr fontId="12" type="noConversion"/>
  </si>
  <si>
    <r>
      <t xml:space="preserve">`- 如果在不同位置使用了相同的导体，请增加一行重复的输入项目。
- 如果相同段落使用了多种导体，每一种导体信息都应该被填入
- 本表格更多指向铜牌，导线等
- 如果使用位置是'其他驱动系统’，请在注释列填写说明
- 检查项目包括但不限于：
-- EV 4.1
-- EV 4.5
</t>
    </r>
    <r>
      <rPr>
        <sz val="11"/>
        <color rgb="FFFF0000"/>
        <rFont val="等线"/>
        <family val="3"/>
        <charset val="134"/>
        <scheme val="minor"/>
      </rPr>
      <t>本页表格允许添加行</t>
    </r>
    <r>
      <rPr>
        <sz val="11"/>
        <color theme="1"/>
        <rFont val="等线"/>
        <family val="2"/>
        <scheme val="minor"/>
      </rPr>
      <t xml:space="preserve">
————
- If the same conductor is used in different locations, please add an additional row with the repeated input item. 
-  If multiple types of conductors are used in the same section, information for each conductor should be filled in.
-  If the usage location is 'Other TS,' please provide an explanation in the Additional Info column.
- </t>
    </r>
    <r>
      <rPr>
        <sz val="11"/>
        <color rgb="FFFF0000"/>
        <rFont val="等线"/>
        <family val="3"/>
        <charset val="134"/>
        <scheme val="minor"/>
      </rPr>
      <t>Rows can be added to the table on this page.</t>
    </r>
    <phoneticPr fontId="12" type="noConversion"/>
  </si>
  <si>
    <t>- 如果使用位置是'其他驱动系统’，请在注释列填写说明，且关于位置的表述必须和之前的导体段落文本完全一致
- 检查的项目包括但不限于
- EV 3.2
————
If the usage location is 'Other TS,' please provide an explanation in the Additional Info column. It must the same as the expression in the 'Conductor' part</t>
    <phoneticPr fontId="12" type="noConversion"/>
  </si>
  <si>
    <t>EV 4.5.5</t>
    <phoneticPr fontId="12" type="noConversion"/>
  </si>
  <si>
    <t>EV 4.2</t>
    <phoneticPr fontId="12" type="noConversion"/>
  </si>
  <si>
    <t>EV 4.7</t>
    <phoneticPr fontId="12" type="noConversion"/>
  </si>
  <si>
    <t>EV 4.7.6</t>
    <phoneticPr fontId="12" type="noConversion"/>
  </si>
  <si>
    <t>EV 4.6</t>
    <phoneticPr fontId="12" type="noConversion"/>
  </si>
  <si>
    <t>EV 4.9</t>
    <phoneticPr fontId="12" type="noConversion"/>
  </si>
  <si>
    <t>EV 4.9.3</t>
    <phoneticPr fontId="12" type="noConversion"/>
  </si>
  <si>
    <t>EV 4.8</t>
    <phoneticPr fontId="12" type="noConversion"/>
  </si>
  <si>
    <t>EV 6.4</t>
    <phoneticPr fontId="12" type="noConversion"/>
  </si>
  <si>
    <t>EV 5.6</t>
    <phoneticPr fontId="12" type="noConversion"/>
  </si>
  <si>
    <t>EV 5.4.4 - EV 5.4.5</t>
    <phoneticPr fontId="12" type="noConversion"/>
  </si>
  <si>
    <t>EV 5.4.8 - EV 5.4.10</t>
    <phoneticPr fontId="12" type="noConversion"/>
  </si>
  <si>
    <t>EV 5.7</t>
    <phoneticPr fontId="12" type="noConversion"/>
  </si>
  <si>
    <t>[全车]自制PCB高低压隔离 High and low voltage isolation in [all] PCBs</t>
    <phoneticPr fontId="12" type="noConversion"/>
  </si>
  <si>
    <t>EV 5.5.10 - EV 5.5.12</t>
    <phoneticPr fontId="12" type="noConversion"/>
  </si>
  <si>
    <t>EV 5.8.4</t>
    <phoneticPr fontId="12" type="noConversion"/>
  </si>
  <si>
    <t>EV 5.5.14</t>
    <phoneticPr fontId="12" type="noConversion"/>
  </si>
  <si>
    <t>EV 5.4.6</t>
    <phoneticPr fontId="12" type="noConversion"/>
  </si>
  <si>
    <t>展示所有同时包含高低压的PCB的爬电距离和电气间隙，若整车自制PCB没有同时存在TS&amp;LVS，则忽略本条 Displays creepage and clearance distances for all PCBs containing both TS and LVS</t>
    <phoneticPr fontId="12" type="noConversion"/>
  </si>
  <si>
    <t>备用电芯存放容器 Spare Battery Storage Container</t>
    <phoneticPr fontId="12" type="noConversion"/>
  </si>
  <si>
    <t>备用电芯(含供电检检查等)存放容器，若没有备用电芯则忽略本条 Storage container for spare battery cells (including provisions for inspection, etc.); if no spare cells are present, disregard this item.</t>
    <phoneticPr fontId="12" type="noConversion"/>
  </si>
  <si>
    <t>备用电芯必须存放在阻燃容器中 Spare cells must be stored in a fire retardant container</t>
    <phoneticPr fontId="12" type="noConversion"/>
  </si>
  <si>
    <t>备用电芯被牢固固定 The spare cell is securely fastened</t>
    <phoneticPr fontId="12" type="noConversion"/>
  </si>
  <si>
    <t>容器有明显标识 Containers are clearly labeled</t>
    <phoneticPr fontId="12" type="noConversion"/>
  </si>
  <si>
    <t>在上面补充内容附上足够清晰的原理图 Schematics on the up additional comments</t>
    <phoneticPr fontId="12" type="noConversion"/>
  </si>
  <si>
    <t>自制低压锂电池原理图 Schematic Diagram for a Homemade Low-Voltage Lithium Battery</t>
    <phoneticPr fontId="12" type="noConversion"/>
  </si>
  <si>
    <t>v2.2</t>
    <phoneticPr fontId="12" type="noConversion"/>
  </si>
  <si>
    <t>2026规则</t>
    <phoneticPr fontId="12" type="noConversion"/>
  </si>
  <si>
    <t>EV 5.7
EV 4.9
EV 4.7</t>
    <phoneticPr fontId="12" type="noConversion"/>
  </si>
  <si>
    <t>EV 8.4.7</t>
    <phoneticPr fontId="12" type="noConversion"/>
  </si>
  <si>
    <t>有刹车，进行一定操作才能被推动 Equipped with a brake and can only be pushed after specific operations are performed.</t>
    <phoneticPr fontId="12" type="noConversion"/>
  </si>
  <si>
    <t>EV 8.4.3</t>
    <phoneticPr fontId="12" type="noConversion"/>
  </si>
  <si>
    <t>电池箱不比手推车突出 The accumulator does not protrude beyond the handcart.</t>
    <phoneticPr fontId="12" type="noConversion"/>
  </si>
  <si>
    <t>EV 8.4.9</t>
    <phoneticPr fontId="12" type="noConversion"/>
  </si>
  <si>
    <t>EV 8.4.10</t>
    <phoneticPr fontId="12" type="noConversion"/>
  </si>
  <si>
    <t>EV 8.4.11</t>
    <phoneticPr fontId="12" type="noConversion"/>
  </si>
  <si>
    <t>防火墙上有信息标签 There is an information label on the firewall.</t>
    <phoneticPr fontId="12" type="noConversion"/>
  </si>
  <si>
    <t>全车是否有自制同时带高压和低压的PCB Does the entire vehicle contain any custom-made PCBs that handle both TS&amp;LVS?</t>
    <phoneticPr fontId="12" type="noConversion"/>
  </si>
  <si>
    <t>制造商 Vendor</t>
    <phoneticPr fontId="12" type="noConversion"/>
  </si>
  <si>
    <t>T 12.6</t>
    <phoneticPr fontId="12" type="noConversion"/>
  </si>
  <si>
    <t>T 12.2, EV 6.2</t>
    <phoneticPr fontId="12" type="noConversion"/>
  </si>
  <si>
    <t>T 12.3, EV 6.2</t>
    <phoneticPr fontId="12" type="noConversion"/>
  </si>
  <si>
    <t>T 12.4, EV 6..3</t>
    <phoneticPr fontId="12" type="noConversion"/>
  </si>
  <si>
    <t>T 7.3</t>
    <phoneticPr fontId="12" type="noConversion"/>
  </si>
  <si>
    <t>T 12.5</t>
    <phoneticPr fontId="12" type="noConversion"/>
  </si>
  <si>
    <t>EV 6.1.6</t>
    <phoneticPr fontId="12" type="noConversion"/>
  </si>
  <si>
    <t>EV 4.5.10</t>
    <phoneticPr fontId="12" type="noConversion"/>
  </si>
  <si>
    <t>EV 6.1.9</t>
    <phoneticPr fontId="12" type="noConversion"/>
  </si>
  <si>
    <t>EV 4.4.3</t>
    <phoneticPr fontId="12" type="noConversion"/>
  </si>
  <si>
    <t>T 12.7</t>
    <phoneticPr fontId="12" type="noConversion"/>
  </si>
  <si>
    <t>EV 6.1.3</t>
    <phoneticPr fontId="12" type="noConversion"/>
  </si>
  <si>
    <t>EV 6.1.4</t>
    <phoneticPr fontId="12" type="noConversion"/>
  </si>
  <si>
    <t>EV 4.11.2</t>
    <phoneticPr fontId="12" type="noConversion"/>
  </si>
  <si>
    <t>EV 6.1</t>
    <phoneticPr fontId="12" type="noConversion"/>
  </si>
  <si>
    <t>继电器检测电路必须位于电池箱内部,禁止将辅助触点/电压测量线引出 TSAL relay status detecion must be within the Accumulator, aux contacts/aux volatge not wiring out</t>
    <phoneticPr fontId="12" type="noConversion"/>
  </si>
  <si>
    <t>EV 6.1.6
EV 6.1.7
EV 6.1.9
EV 6.1.11</t>
    <phoneticPr fontId="12" type="noConversion"/>
  </si>
  <si>
    <t>EV 4.10</t>
    <phoneticPr fontId="12" type="noConversion"/>
  </si>
  <si>
    <t>TSAL模块分布架构 TSAL Module Distributed Architecture</t>
    <phoneticPr fontId="12" type="noConversion"/>
  </si>
  <si>
    <t>TSAL绿灯继电器状态检测和信号处理电路
TSAL Green Light Relay Status Detection and Signal Processing Circuit</t>
    <phoneticPr fontId="12" type="noConversion"/>
  </si>
  <si>
    <t>TSAL通用 - 电压测量原理图，采购传感器无需填写
TSAL General - Schematic on voltage measurement, N/A if use purchased sensor</t>
    <phoneticPr fontId="12" type="noConversion"/>
  </si>
  <si>
    <t>TSAL红灯信号处理和驱动电路
TSAL Red Light Signal Processing and Driving Circuit</t>
    <phoneticPr fontId="12" type="noConversion"/>
  </si>
  <si>
    <t>EV 5.3.3
EV 5.3.4</t>
    <phoneticPr fontId="12" type="noConversion"/>
  </si>
  <si>
    <t>备用电池箱 Spare Accumulator</t>
    <phoneticPr fontId="12" type="noConversion"/>
  </si>
  <si>
    <t>是否有备用电池箱 Whether exist spare accumulator</t>
    <phoneticPr fontId="12" type="noConversion"/>
  </si>
  <si>
    <t>说明：如果没有备用电池箱或备用电池箱采用完全相同的设计，此页可忽略
Note: If there is no spare accumulator or the spare accumulator has the same design, this page can be ignored.</t>
    <phoneticPr fontId="12" type="noConversion"/>
  </si>
  <si>
    <t>v2.2.1</t>
    <phoneticPr fontId="12" type="noConversion"/>
  </si>
  <si>
    <t>格式更新</t>
    <phoneticPr fontId="12" type="noConversion"/>
  </si>
  <si>
    <t>v2.2.2</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</si>
</sst>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
  </numFmts>
  <fonts count="25" x14ac:knownFonts="1">
    <font>
      <sz val="11"/>
      <color theme="1"/>
      <name val="等线"/>
      <family val="2"/>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scheme val="minor"/>
    </font>
    <font>
      <sz val="11"/>
      <color rgb="FF3F3F76"/>
      <name val="等线"/>
      <family val="2"/>
      <charset val="134"/>
      <scheme val="minor"/>
    </font>
    <font>
      <sz val="11"/>
      <color theme="1"/>
      <name val="等线"/>
      <family val="2"/>
      <charset val="134"/>
      <scheme val="minor"/>
    </font>
    <font>
      <sz val="9"/>
      <name val="等线"/>
      <family val="3"/>
      <charset val="134"/>
      <scheme val="minor"/>
    </font>
    <font>
      <sz val="11"/>
      <name val="等线"/>
      <family val="2"/>
      <scheme val="minor"/>
    </font>
    <font>
      <i/>
      <sz val="11"/>
      <color rgb="FF3F3F76"/>
      <name val="等线"/>
      <family val="3"/>
      <charset val="134"/>
      <scheme val="minor"/>
    </font>
    <font>
      <b/>
      <sz val="11"/>
      <color rgb="FFFA7D00"/>
      <name val="等线"/>
      <family val="2"/>
      <charset val="134"/>
      <scheme val="minor"/>
    </font>
    <font>
      <b/>
      <sz val="11"/>
      <color theme="1"/>
      <name val="等线"/>
      <family val="2"/>
      <scheme val="minor"/>
    </font>
    <font>
      <u/>
      <sz val="11"/>
      <color rgb="FF3F3F76"/>
      <name val="等线"/>
      <family val="2"/>
      <charset val="134"/>
      <scheme val="minor"/>
    </font>
    <font>
      <sz val="11"/>
      <color theme="1"/>
      <name val="等线"/>
      <family val="3"/>
      <charset val="134"/>
      <scheme val="minor"/>
    </font>
    <font>
      <b/>
      <sz val="11"/>
      <name val="等线"/>
      <family val="3"/>
      <charset val="134"/>
      <scheme val="minor"/>
    </font>
    <font>
      <b/>
      <sz val="11"/>
      <color theme="1"/>
      <name val="等线"/>
      <family val="3"/>
      <charset val="134"/>
      <scheme val="minor"/>
    </font>
    <font>
      <sz val="11"/>
      <color rgb="FFFF0000"/>
      <name val="等线"/>
      <family val="3"/>
      <charset val="134"/>
      <scheme val="minor"/>
    </font>
    <font>
      <u/>
      <sz val="11"/>
      <color theme="10"/>
      <name val="等线"/>
      <family val="2"/>
      <scheme val="minor"/>
    </font>
    <font>
      <sz val="11"/>
      <name val="等线"/>
      <family val="3"/>
      <charset val="134"/>
      <scheme val="minor"/>
    </font>
    <font>
      <b/>
      <sz val="11"/>
      <color rgb="FFFF0000"/>
      <name val="等线"/>
      <family val="3"/>
      <charset val="134"/>
      <scheme val="minor"/>
    </font>
  </fonts>
  <fills count="12">
    <fill>
      <patternFill patternType="none"/>
    </fill>
    <fill>
      <patternFill patternType="gray125"/>
    </fill>
    <fill>
      <patternFill patternType="solid">
        <fgColor rgb="FFFFCC99"/>
      </patternFill>
    </fill>
    <fill>
      <patternFill patternType="solid">
        <fgColor rgb="FFFFFFCC"/>
      </patternFill>
    </fill>
    <fill>
      <patternFill patternType="solid">
        <fgColor theme="9" tint="0.59999389629810485"/>
        <bgColor indexed="65"/>
      </patternFill>
    </fill>
    <fill>
      <patternFill patternType="solid">
        <fgColor rgb="FF66CCFF"/>
        <bgColor indexed="64"/>
      </patternFill>
    </fill>
    <fill>
      <patternFill patternType="solid">
        <fgColor theme="0" tint="-0.14999847407452621"/>
        <bgColor indexed="64"/>
      </patternFill>
    </fill>
    <fill>
      <patternFill patternType="solid">
        <fgColor rgb="FFF2F2F2"/>
      </patternFill>
    </fill>
    <fill>
      <patternFill patternType="solid">
        <fgColor theme="4" tint="0.59999389629810485"/>
        <bgColor indexed="65"/>
      </patternFill>
    </fill>
    <fill>
      <patternFill patternType="solid">
        <fgColor theme="2" tint="-9.9948118533890809E-2"/>
        <bgColor indexed="64"/>
      </patternFill>
    </fill>
    <fill>
      <patternFill patternType="solid">
        <fgColor rgb="FFFFD966"/>
        <bgColor indexed="64"/>
      </patternFill>
    </fill>
    <fill>
      <patternFill patternType="solid">
        <fgColor theme="0"/>
        <bgColor indexed="64"/>
      </patternFill>
    </fill>
  </fills>
  <borders count="44">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style="thin">
        <color rgb="FF7F7F7F"/>
      </right>
      <top/>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right/>
      <top style="thin">
        <color rgb="FFB2B2B2"/>
      </top>
      <bottom/>
      <diagonal/>
    </border>
    <border>
      <left/>
      <right style="thin">
        <color rgb="FFB2B2B2"/>
      </right>
      <top style="thin">
        <color rgb="FFB2B2B2"/>
      </top>
      <bottom/>
      <diagonal/>
    </border>
    <border>
      <left/>
      <right style="thin">
        <color rgb="FFB2B2B2"/>
      </right>
      <top/>
      <bottom/>
      <diagonal/>
    </border>
    <border>
      <left/>
      <right/>
      <top/>
      <bottom style="thin">
        <color rgb="FFB2B2B2"/>
      </bottom>
      <diagonal/>
    </border>
    <border>
      <left/>
      <right style="thin">
        <color rgb="FFB2B2B2"/>
      </right>
      <top/>
      <bottom style="thin">
        <color rgb="FFB2B2B2"/>
      </bottom>
      <diagonal/>
    </border>
    <border>
      <left style="thin">
        <color rgb="FF7F7F7F"/>
      </left>
      <right/>
      <top style="thin">
        <color rgb="FF7F7F7F"/>
      </top>
      <bottom style="thin">
        <color rgb="FF7F7F7F"/>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top style="thin">
        <color rgb="FFA6A6A6"/>
      </top>
      <bottom/>
      <diagonal/>
    </border>
    <border>
      <left/>
      <right style="thin">
        <color rgb="FF7F7F7F"/>
      </right>
      <top style="thin">
        <color rgb="FF7F7F7F"/>
      </top>
      <bottom style="thin">
        <color rgb="FF7F7F7F"/>
      </bottom>
      <diagonal/>
    </border>
    <border>
      <left style="thin">
        <color rgb="FFA6A6A6"/>
      </left>
      <right style="thin">
        <color rgb="FFA6A6A6"/>
      </right>
      <top style="thin">
        <color rgb="FFA6A6A6"/>
      </top>
      <bottom/>
      <diagonal/>
    </border>
    <border>
      <left style="thin">
        <color rgb="FFA6A6A6"/>
      </left>
      <right/>
      <top style="thin">
        <color rgb="FFA6A6A6"/>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style="thin">
        <color rgb="FF7F7F7F"/>
      </left>
      <right style="thin">
        <color rgb="FFB2B2B2"/>
      </right>
      <top style="thin">
        <color rgb="FFB2B2B2"/>
      </top>
      <bottom/>
      <diagonal/>
    </border>
    <border>
      <left style="thin">
        <color rgb="FF7F7F7F"/>
      </left>
      <right style="thin">
        <color rgb="FFB2B2B2"/>
      </right>
      <top/>
      <bottom/>
      <diagonal/>
    </border>
    <border>
      <left style="thin">
        <color rgb="FF7F7F7F"/>
      </left>
      <right style="thin">
        <color rgb="FFB2B2B2"/>
      </right>
      <top/>
      <bottom style="thin">
        <color rgb="FFB2B2B2"/>
      </bottom>
      <diagonal/>
    </border>
    <border>
      <left/>
      <right/>
      <top/>
      <bottom style="double">
        <color theme="4"/>
      </bottom>
      <diagonal/>
    </border>
    <border>
      <left/>
      <right/>
      <top style="thin">
        <color theme="4"/>
      </top>
      <bottom/>
      <diagonal/>
    </border>
    <border>
      <left/>
      <right style="thin">
        <color rgb="FFA6A6A6"/>
      </right>
      <top style="thin">
        <color rgb="FFA6A6A6"/>
      </top>
      <bottom style="thin">
        <color rgb="FFA6A6A6"/>
      </bottom>
      <diagonal/>
    </border>
    <border>
      <left/>
      <right style="thin">
        <color rgb="FFA6A6A6"/>
      </right>
      <top style="thin">
        <color rgb="FFA6A6A6"/>
      </top>
      <bottom/>
      <diagonal/>
    </border>
    <border>
      <left/>
      <right style="thin">
        <color rgb="FF3F3F3F"/>
      </right>
      <top/>
      <bottom/>
      <diagonal/>
    </border>
    <border>
      <left/>
      <right/>
      <top/>
      <bottom style="thin">
        <color indexed="64"/>
      </bottom>
      <diagonal/>
    </border>
    <border>
      <left/>
      <right style="thin">
        <color rgb="FFA6A6A6"/>
      </right>
      <top/>
      <bottom style="thin">
        <color rgb="FF7F7F7F"/>
      </bottom>
      <diagonal/>
    </border>
    <border>
      <left style="thin">
        <color rgb="FFB2B2B2"/>
      </left>
      <right/>
      <top style="thin">
        <color rgb="FFB2B2B2"/>
      </top>
      <bottom/>
      <diagonal/>
    </border>
    <border>
      <left style="thin">
        <color rgb="FFB2B2B2"/>
      </left>
      <right/>
      <top/>
      <bottom/>
      <diagonal/>
    </border>
    <border>
      <left style="thin">
        <color rgb="FFB2B2B2"/>
      </left>
      <right/>
      <top/>
      <bottom style="thin">
        <color rgb="FFB2B2B2"/>
      </bottom>
      <diagonal/>
    </border>
    <border>
      <left style="thin">
        <color rgb="FFA6A6A6"/>
      </left>
      <right/>
      <top/>
      <bottom style="thin">
        <color rgb="FFB2B2B2"/>
      </bottom>
      <diagonal/>
    </border>
    <border>
      <left/>
      <right style="thin">
        <color rgb="FFA6A6A6"/>
      </right>
      <top/>
      <bottom style="thin">
        <color rgb="FFB2B2B2"/>
      </bottom>
      <diagonal/>
    </border>
    <border>
      <left/>
      <right style="thin">
        <color rgb="FFA6A6A6"/>
      </right>
      <top/>
      <bottom/>
      <diagonal/>
    </border>
    <border>
      <left style="thin">
        <color rgb="FF7F7F7F"/>
      </left>
      <right style="thin">
        <color rgb="FF7F7F7F"/>
      </right>
      <top/>
      <bottom/>
      <diagonal/>
    </border>
    <border>
      <left/>
      <right/>
      <top/>
      <bottom style="thin">
        <color rgb="FFA6A6A6"/>
      </bottom>
      <diagonal/>
    </border>
    <border>
      <left style="thin">
        <color indexed="64"/>
      </left>
      <right style="thin">
        <color indexed="64"/>
      </right>
      <top style="thin">
        <color indexed="64"/>
      </top>
      <bottom style="thin">
        <color indexed="64"/>
      </bottom>
      <diagonal/>
    </border>
  </borders>
  <cellStyleXfs count="9">
    <xf numFmtId="0" fontId="0" fillId="9" borderId="0"/>
    <xf numFmtId="0" fontId="10" fillId="2" borderId="1" applyNumberFormat="0" applyAlignment="0">
      <alignment vertical="center"/>
      <protection locked="0"/>
    </xf>
    <xf numFmtId="0" fontId="9" fillId="3" borderId="2" applyNumberFormat="0" applyFont="0" applyAlignment="0" applyProtection="0">
      <alignment vertical="center"/>
    </xf>
    <xf numFmtId="0" fontId="11" fillId="4" borderId="0" applyNumberFormat="0" applyBorder="0" applyAlignment="0" applyProtection="0">
      <alignment vertical="center"/>
    </xf>
    <xf numFmtId="0" fontId="15" fillId="7" borderId="1" applyNumberFormat="0" applyAlignment="0" applyProtection="0">
      <alignment vertical="center"/>
    </xf>
    <xf numFmtId="0" fontId="11" fillId="8" borderId="0" applyNumberFormat="0" applyBorder="0" applyAlignment="0" applyProtection="0">
      <alignment vertical="center"/>
    </xf>
    <xf numFmtId="0" fontId="9" fillId="0" borderId="0" applyBorder="0" applyProtection="0">
      <alignment horizontal="center"/>
    </xf>
    <xf numFmtId="9" fontId="9" fillId="0" borderId="0" applyFont="0" applyFill="0" applyBorder="0" applyAlignment="0" applyProtection="0">
      <alignment vertical="center"/>
    </xf>
    <xf numFmtId="0" fontId="22" fillId="9" borderId="0" applyNumberFormat="0" applyFill="0" applyBorder="0" applyAlignment="0" applyProtection="0"/>
  </cellStyleXfs>
  <cellXfs count="292">
    <xf numFmtId="0" fontId="0" fillId="9" borderId="0" xfId="0"/>
    <xf numFmtId="0" fontId="0" fillId="5" borderId="0" xfId="0" applyFill="1" applyAlignment="1">
      <alignment horizontal="center"/>
    </xf>
    <xf numFmtId="0" fontId="0" fillId="6" borderId="0" xfId="0" applyFill="1"/>
    <xf numFmtId="49" fontId="10" fillId="2" borderId="1" xfId="1" applyNumberFormat="1" applyAlignment="1">
      <protection locked="0"/>
    </xf>
    <xf numFmtId="0" fontId="10" fillId="2" borderId="1" xfId="1" applyAlignment="1">
      <alignment horizontal="left"/>
      <protection locked="0"/>
    </xf>
    <xf numFmtId="0" fontId="10" fillId="2" borderId="1" xfId="1" applyAlignment="1">
      <protection locked="0"/>
    </xf>
    <xf numFmtId="0" fontId="10" fillId="2" borderId="1" xfId="1" applyAlignment="1">
      <alignment wrapText="1"/>
      <protection locked="0"/>
    </xf>
    <xf numFmtId="0" fontId="10" fillId="2" borderId="1" xfId="1" applyAlignment="1">
      <alignment vertical="top" wrapText="1"/>
      <protection locked="0"/>
    </xf>
    <xf numFmtId="0" fontId="14" fillId="2" borderId="1" xfId="1" applyFont="1" applyAlignment="1">
      <protection locked="0"/>
    </xf>
    <xf numFmtId="3" fontId="10" fillId="2" borderId="1" xfId="1" applyNumberFormat="1" applyAlignment="1">
      <protection locked="0"/>
    </xf>
    <xf numFmtId="0" fontId="16" fillId="8" borderId="0" xfId="5" applyFont="1" applyAlignment="1">
      <alignment horizontal="center"/>
    </xf>
    <xf numFmtId="0" fontId="10" fillId="2" borderId="16" xfId="1" applyBorder="1" applyAlignment="1">
      <protection locked="0"/>
    </xf>
    <xf numFmtId="0" fontId="17" fillId="2" borderId="1" xfId="1" applyFont="1" applyAlignment="1">
      <protection locked="0"/>
    </xf>
    <xf numFmtId="0" fontId="10" fillId="2" borderId="1" xfId="1" applyNumberFormat="1" applyAlignment="1">
      <protection locked="0"/>
    </xf>
    <xf numFmtId="0" fontId="9" fillId="0" borderId="0" xfId="6">
      <alignment horizontal="center"/>
    </xf>
    <xf numFmtId="0" fontId="9" fillId="0" borderId="9" xfId="6" applyBorder="1">
      <alignment horizontal="center"/>
    </xf>
    <xf numFmtId="0" fontId="9" fillId="0" borderId="0" xfId="6" applyAlignment="1">
      <alignment horizontal="left"/>
    </xf>
    <xf numFmtId="0" fontId="11" fillId="4" borderId="0" xfId="3" applyAlignment="1">
      <alignment horizontal="center"/>
    </xf>
    <xf numFmtId="0" fontId="9" fillId="0" borderId="0" xfId="6" applyAlignment="1">
      <alignment horizontal="right"/>
    </xf>
    <xf numFmtId="0" fontId="10" fillId="2" borderId="1" xfId="1" applyAlignment="1">
      <alignment horizontal="center"/>
      <protection locked="0"/>
    </xf>
    <xf numFmtId="0" fontId="0" fillId="10" borderId="21" xfId="0" applyFill="1" applyBorder="1" applyAlignment="1">
      <alignment horizontal="center"/>
    </xf>
    <xf numFmtId="0" fontId="9" fillId="0" borderId="28" xfId="6" applyBorder="1">
      <alignment horizontal="center"/>
    </xf>
    <xf numFmtId="0" fontId="15" fillId="7" borderId="24" xfId="4" applyBorder="1" applyAlignment="1">
      <alignment horizontal="center"/>
    </xf>
    <xf numFmtId="0" fontId="9" fillId="0" borderId="29" xfId="6" applyBorder="1">
      <alignment horizontal="center"/>
    </xf>
    <xf numFmtId="0" fontId="15" fillId="7" borderId="23" xfId="4" applyBorder="1" applyAlignment="1">
      <alignment horizontal="center"/>
    </xf>
    <xf numFmtId="0" fontId="9" fillId="0" borderId="0" xfId="6" applyAlignment="1"/>
    <xf numFmtId="0" fontId="20" fillId="0" borderId="0" xfId="6" applyFont="1">
      <alignment horizontal="center"/>
    </xf>
    <xf numFmtId="0" fontId="20" fillId="0" borderId="0" xfId="6" applyFont="1" applyAlignment="1">
      <alignment horizontal="right"/>
    </xf>
    <xf numFmtId="9" fontId="0" fillId="0" borderId="0" xfId="7" applyFont="1" applyFill="1" applyAlignment="1"/>
    <xf numFmtId="14" fontId="9" fillId="0" borderId="0" xfId="6" applyNumberFormat="1">
      <alignment horizontal="center"/>
    </xf>
    <xf numFmtId="0" fontId="9" fillId="0" borderId="0" xfId="6" applyAlignment="1">
      <alignment horizontal="center" vertical="center"/>
    </xf>
    <xf numFmtId="0" fontId="0" fillId="9" borderId="0" xfId="0" applyAlignment="1">
      <alignment horizontal="center" vertical="center"/>
    </xf>
    <xf numFmtId="0" fontId="22" fillId="2" borderId="1" xfId="8" applyFill="1" applyBorder="1" applyAlignment="1" applyProtection="1">
      <protection locked="0"/>
    </xf>
    <xf numFmtId="0" fontId="0" fillId="9" borderId="0" xfId="0" applyAlignment="1">
      <alignment vertical="center"/>
    </xf>
    <xf numFmtId="0" fontId="9" fillId="0" borderId="28" xfId="6" applyBorder="1" applyAlignment="1">
      <alignment horizontal="left"/>
    </xf>
    <xf numFmtId="0" fontId="9" fillId="0" borderId="29" xfId="6" applyBorder="1" applyAlignment="1">
      <alignment horizontal="left"/>
    </xf>
    <xf numFmtId="0" fontId="0" fillId="0" borderId="0" xfId="6" applyFont="1">
      <alignment horizontal="center"/>
    </xf>
    <xf numFmtId="0" fontId="8" fillId="4" borderId="0" xfId="3" applyFont="1" applyAlignment="1"/>
    <xf numFmtId="0" fontId="10" fillId="2" borderId="1" xfId="1" applyAlignment="1">
      <alignment vertical="center"/>
      <protection locked="0"/>
    </xf>
    <xf numFmtId="0" fontId="0" fillId="10" borderId="21" xfId="0" applyFill="1" applyBorder="1" applyAlignment="1">
      <alignment horizontal="center" wrapText="1"/>
    </xf>
    <xf numFmtId="0" fontId="20" fillId="0" borderId="0" xfId="6" applyFont="1" applyAlignment="1">
      <alignment horizontal="right" wrapText="1"/>
    </xf>
    <xf numFmtId="0" fontId="10" fillId="2" borderId="1" xfId="1" applyAlignment="1">
      <protection locked="0"/>
    </xf>
    <xf numFmtId="0" fontId="9" fillId="0" borderId="0" xfId="6">
      <alignment horizontal="center"/>
    </xf>
    <xf numFmtId="0" fontId="0" fillId="9" borderId="0" xfId="0" applyProtection="1"/>
    <xf numFmtId="0" fontId="20" fillId="4" borderId="0" xfId="3" applyFont="1" applyAlignment="1">
      <alignment horizontal="center" vertical="center"/>
    </xf>
    <xf numFmtId="0" fontId="9" fillId="0" borderId="0" xfId="6" applyAlignment="1">
      <alignment horizontal="left"/>
    </xf>
    <xf numFmtId="0" fontId="0" fillId="9" borderId="0" xfId="0"/>
    <xf numFmtId="0" fontId="10" fillId="2" borderId="1" xfId="1" applyAlignment="1">
      <protection locked="0"/>
    </xf>
    <xf numFmtId="0" fontId="9" fillId="0" borderId="0" xfId="6">
      <alignment horizontal="center"/>
    </xf>
    <xf numFmtId="0" fontId="0" fillId="5" borderId="0" xfId="0" applyFill="1" applyAlignment="1" applyProtection="1">
      <alignment horizontal="center"/>
      <protection hidden="1"/>
    </xf>
    <xf numFmtId="0" fontId="9" fillId="0" borderId="0" xfId="6" applyProtection="1">
      <alignment horizontal="center"/>
      <protection hidden="1"/>
    </xf>
    <xf numFmtId="0" fontId="9" fillId="0" borderId="0" xfId="6" applyProtection="1">
      <alignment horizontal="center"/>
    </xf>
    <xf numFmtId="0" fontId="0" fillId="5" borderId="0" xfId="0" applyFill="1" applyAlignment="1" applyProtection="1">
      <alignment horizontal="center" vertical="center"/>
      <protection hidden="1"/>
    </xf>
    <xf numFmtId="0" fontId="11" fillId="4" borderId="0" xfId="3" applyAlignment="1">
      <alignment horizontal="center" vertical="center"/>
    </xf>
    <xf numFmtId="0" fontId="0" fillId="5" borderId="0" xfId="0" applyFill="1" applyAlignment="1" applyProtection="1">
      <alignment horizontal="center" vertical="center"/>
      <protection hidden="1"/>
    </xf>
    <xf numFmtId="0" fontId="9" fillId="0" borderId="0" xfId="6" applyAlignment="1">
      <alignment horizontal="left"/>
    </xf>
    <xf numFmtId="0" fontId="10" fillId="2" borderId="1" xfId="1" applyAlignment="1">
      <alignment horizontal="center" vertical="center"/>
      <protection locked="0"/>
    </xf>
    <xf numFmtId="0" fontId="9" fillId="0" borderId="0" xfId="6" applyAlignment="1">
      <alignment horizontal="right" vertical="center"/>
    </xf>
    <xf numFmtId="0" fontId="10" fillId="2" borderId="0" xfId="1" applyBorder="1" applyAlignment="1">
      <alignment horizontal="center" vertical="center"/>
      <protection locked="0"/>
    </xf>
    <xf numFmtId="0" fontId="9" fillId="0" borderId="0" xfId="6" applyAlignment="1">
      <alignment horizontal="left" vertical="center"/>
    </xf>
    <xf numFmtId="0" fontId="0" fillId="9" borderId="0" xfId="0"/>
    <xf numFmtId="0" fontId="10" fillId="2" borderId="1" xfId="1" applyAlignment="1">
      <protection locked="0"/>
    </xf>
    <xf numFmtId="0" fontId="9" fillId="0" borderId="0" xfId="6">
      <alignment horizontal="center"/>
    </xf>
    <xf numFmtId="0" fontId="0" fillId="5" borderId="0" xfId="0" applyFill="1" applyAlignment="1" applyProtection="1">
      <alignment horizontal="center"/>
      <protection hidden="1"/>
    </xf>
    <xf numFmtId="0" fontId="9" fillId="0" borderId="0" xfId="6" applyAlignment="1">
      <alignment horizontal="center" vertical="center"/>
    </xf>
    <xf numFmtId="0" fontId="0" fillId="9" borderId="0" xfId="0" applyBorder="1" applyAlignment="1">
      <alignment horizontal="left"/>
    </xf>
    <xf numFmtId="0" fontId="9" fillId="0" borderId="0" xfId="6">
      <alignment horizontal="center"/>
    </xf>
    <xf numFmtId="0" fontId="10" fillId="2" borderId="0" xfId="1" applyBorder="1" applyAlignment="1">
      <protection locked="0"/>
    </xf>
    <xf numFmtId="0" fontId="20" fillId="0" borderId="0" xfId="6" applyFont="1" applyAlignment="1">
      <alignment horizontal="center" vertical="center"/>
    </xf>
    <xf numFmtId="0" fontId="0" fillId="10" borderId="21" xfId="0" applyFill="1" applyBorder="1" applyAlignment="1">
      <alignment horizontal="center" vertical="center"/>
    </xf>
    <xf numFmtId="0" fontId="10" fillId="2" borderId="1" xfId="1" applyAlignment="1" applyProtection="1">
      <protection locked="0"/>
    </xf>
    <xf numFmtId="0" fontId="9" fillId="0" borderId="0" xfId="6">
      <alignment horizontal="center"/>
    </xf>
    <xf numFmtId="0" fontId="0" fillId="5" borderId="0" xfId="0" applyFill="1" applyAlignment="1" applyProtection="1">
      <alignment horizontal="center"/>
      <protection hidden="1"/>
    </xf>
    <xf numFmtId="0" fontId="15" fillId="7" borderId="1" xfId="4" applyAlignment="1" applyProtection="1">
      <protection hidden="1"/>
    </xf>
    <xf numFmtId="0" fontId="10" fillId="2" borderId="43" xfId="1" applyBorder="1" applyAlignment="1">
      <protection locked="0"/>
    </xf>
    <xf numFmtId="0" fontId="9" fillId="0" borderId="43" xfId="6" applyBorder="1" applyAlignment="1">
      <alignment horizontal="left"/>
    </xf>
    <xf numFmtId="2" fontId="15" fillId="7" borderId="1" xfId="4" applyNumberFormat="1" applyAlignment="1" applyProtection="1">
      <protection hidden="1"/>
    </xf>
    <xf numFmtId="176" fontId="15" fillId="7" borderId="1" xfId="4" applyNumberFormat="1" applyAlignment="1" applyProtection="1">
      <protection hidden="1"/>
    </xf>
    <xf numFmtId="0" fontId="20" fillId="4" borderId="0" xfId="3" applyFont="1" applyAlignment="1">
      <alignment horizontal="center" vertical="center"/>
    </xf>
    <xf numFmtId="0" fontId="11" fillId="4" borderId="0" xfId="3" applyAlignment="1">
      <alignment horizontal="center" vertical="center"/>
    </xf>
    <xf numFmtId="0" fontId="13" fillId="3" borderId="2" xfId="2" quotePrefix="1" applyFont="1" applyAlignment="1">
      <alignment horizontal="left" vertical="top" wrapText="1"/>
    </xf>
    <xf numFmtId="0" fontId="13" fillId="3" borderId="2" xfId="2" applyFont="1" applyAlignment="1">
      <alignment horizontal="left" vertical="top" wrapText="1"/>
    </xf>
    <xf numFmtId="0" fontId="8" fillId="4" borderId="0" xfId="3" applyFont="1" applyAlignment="1">
      <alignment horizontal="center"/>
    </xf>
    <xf numFmtId="0" fontId="11" fillId="4" borderId="0" xfId="3" applyAlignment="1">
      <alignment horizontal="center"/>
    </xf>
    <xf numFmtId="0" fontId="10" fillId="2" borderId="4" xfId="1" applyBorder="1" applyAlignment="1">
      <alignment horizontal="center"/>
      <protection locked="0"/>
    </xf>
    <xf numFmtId="0" fontId="10" fillId="2" borderId="5" xfId="1" applyBorder="1" applyAlignment="1">
      <alignment horizontal="center"/>
      <protection locked="0"/>
    </xf>
    <xf numFmtId="0" fontId="10" fillId="2" borderId="6" xfId="1" applyBorder="1" applyAlignment="1">
      <alignment horizontal="center"/>
      <protection locked="0"/>
    </xf>
    <xf numFmtId="0" fontId="10" fillId="2" borderId="7" xfId="1" applyBorder="1" applyAlignment="1">
      <alignment horizontal="center"/>
      <protection locked="0"/>
    </xf>
    <xf numFmtId="0" fontId="10" fillId="2" borderId="0" xfId="1" applyBorder="1" applyAlignment="1">
      <alignment horizontal="center"/>
      <protection locked="0"/>
    </xf>
    <xf numFmtId="0" fontId="10" fillId="2" borderId="3" xfId="1" applyBorder="1" applyAlignment="1">
      <alignment horizontal="center"/>
      <protection locked="0"/>
    </xf>
    <xf numFmtId="0" fontId="10" fillId="2" borderId="8" xfId="1" applyBorder="1" applyAlignment="1">
      <alignment horizontal="center"/>
      <protection locked="0"/>
    </xf>
    <xf numFmtId="0" fontId="10" fillId="2" borderId="9" xfId="1" applyBorder="1" applyAlignment="1">
      <alignment horizontal="center"/>
      <protection locked="0"/>
    </xf>
    <xf numFmtId="0" fontId="10" fillId="2" borderId="10" xfId="1" applyBorder="1" applyAlignment="1">
      <alignment horizontal="center"/>
      <protection locked="0"/>
    </xf>
    <xf numFmtId="0" fontId="8" fillId="4" borderId="9" xfId="3" applyFont="1" applyBorder="1" applyAlignment="1">
      <alignment horizontal="center"/>
    </xf>
    <xf numFmtId="0" fontId="11" fillId="4" borderId="9" xfId="3" applyBorder="1" applyAlignment="1">
      <alignment horizontal="center"/>
    </xf>
    <xf numFmtId="0" fontId="10" fillId="2" borderId="1" xfId="1" applyAlignment="1">
      <alignment horizontal="center"/>
      <protection locked="0"/>
    </xf>
    <xf numFmtId="0" fontId="0" fillId="5" borderId="0" xfId="0" applyFill="1" applyAlignment="1" applyProtection="1">
      <alignment horizontal="center" vertical="center"/>
      <protection hidden="1"/>
    </xf>
    <xf numFmtId="0" fontId="0" fillId="3" borderId="2" xfId="2" quotePrefix="1" applyFont="1" applyAlignment="1">
      <alignment horizontal="left" vertical="top" wrapText="1"/>
    </xf>
    <xf numFmtId="0" fontId="0" fillId="3" borderId="2" xfId="2" applyFont="1" applyAlignment="1">
      <alignment horizontal="left" vertical="top" wrapText="1"/>
    </xf>
    <xf numFmtId="0" fontId="0" fillId="3" borderId="11" xfId="2" quotePrefix="1" applyFont="1" applyBorder="1" applyAlignment="1">
      <alignment horizontal="left" vertical="top" wrapText="1"/>
    </xf>
    <xf numFmtId="0" fontId="0" fillId="3" borderId="12" xfId="2" applyFont="1" applyBorder="1" applyAlignment="1">
      <alignment horizontal="left" vertical="top" wrapText="1"/>
    </xf>
    <xf numFmtId="0" fontId="0" fillId="3" borderId="0" xfId="2" applyFont="1" applyBorder="1" applyAlignment="1">
      <alignment horizontal="left" vertical="top" wrapText="1"/>
    </xf>
    <xf numFmtId="0" fontId="0" fillId="3" borderId="13" xfId="2" applyFont="1" applyBorder="1" applyAlignment="1">
      <alignment horizontal="left" vertical="top" wrapText="1"/>
    </xf>
    <xf numFmtId="0" fontId="0" fillId="3" borderId="14" xfId="2" applyFont="1" applyBorder="1" applyAlignment="1">
      <alignment horizontal="left" vertical="top" wrapText="1"/>
    </xf>
    <xf numFmtId="0" fontId="0" fillId="3" borderId="15" xfId="2" applyFont="1" applyBorder="1" applyAlignment="1">
      <alignment horizontal="left" vertical="top" wrapText="1"/>
    </xf>
    <xf numFmtId="0" fontId="20" fillId="4" borderId="0" xfId="3" applyFont="1" applyAlignment="1">
      <alignment horizontal="center"/>
    </xf>
    <xf numFmtId="0" fontId="9" fillId="0" borderId="0" xfId="6" applyAlignment="1">
      <alignment horizontal="left"/>
    </xf>
    <xf numFmtId="0" fontId="8" fillId="4" borderId="14" xfId="3" applyFont="1" applyBorder="1" applyAlignment="1">
      <alignment horizontal="center"/>
    </xf>
    <xf numFmtId="0" fontId="10" fillId="2" borderId="1" xfId="1" applyAlignment="1">
      <alignment horizontal="left"/>
      <protection locked="0"/>
    </xf>
    <xf numFmtId="0" fontId="9" fillId="0" borderId="3" xfId="6" applyBorder="1" applyAlignment="1">
      <alignment horizontal="left"/>
    </xf>
    <xf numFmtId="0" fontId="9" fillId="0" borderId="9" xfId="6" applyBorder="1">
      <alignment horizontal="center"/>
    </xf>
    <xf numFmtId="0" fontId="0" fillId="3" borderId="12" xfId="2" quotePrefix="1" applyFont="1" applyBorder="1" applyAlignment="1">
      <alignment horizontal="left" vertical="top" wrapText="1"/>
    </xf>
    <xf numFmtId="0" fontId="0" fillId="3" borderId="13" xfId="2" applyFont="1" applyBorder="1" applyAlignment="1">
      <alignment horizontal="left" vertical="top"/>
    </xf>
    <xf numFmtId="0" fontId="0" fillId="3" borderId="15" xfId="2" applyFont="1" applyBorder="1" applyAlignment="1">
      <alignment horizontal="left" vertical="top"/>
    </xf>
    <xf numFmtId="0" fontId="0" fillId="3" borderId="2" xfId="2" applyFont="1" applyAlignment="1">
      <alignment horizontal="left" vertical="top"/>
    </xf>
    <xf numFmtId="0" fontId="10" fillId="2" borderId="1" xfId="1" applyAlignment="1">
      <alignment horizontal="center" vertical="center"/>
      <protection locked="0"/>
    </xf>
    <xf numFmtId="0" fontId="20" fillId="4" borderId="5" xfId="3" applyFont="1" applyBorder="1" applyAlignment="1">
      <alignment horizontal="center"/>
    </xf>
    <xf numFmtId="0" fontId="0" fillId="5" borderId="5" xfId="0" applyFill="1" applyBorder="1" applyAlignment="1" applyProtection="1">
      <alignment horizontal="center" vertical="center"/>
      <protection hidden="1"/>
    </xf>
    <xf numFmtId="0" fontId="0" fillId="10" borderId="17" xfId="0" applyFill="1" applyBorder="1" applyAlignment="1">
      <alignment horizontal="center"/>
    </xf>
    <xf numFmtId="0" fontId="0" fillId="10" borderId="18" xfId="0" applyFill="1" applyBorder="1" applyAlignment="1">
      <alignment horizontal="center"/>
    </xf>
    <xf numFmtId="0" fontId="9" fillId="0" borderId="19" xfId="6" applyBorder="1" applyAlignment="1">
      <alignment horizontal="center" vertical="center"/>
    </xf>
    <xf numFmtId="0" fontId="9" fillId="0" borderId="0" xfId="6" applyAlignment="1">
      <alignment horizontal="center" vertical="center"/>
    </xf>
    <xf numFmtId="0" fontId="2" fillId="4" borderId="0" xfId="3" applyFont="1" applyAlignment="1">
      <alignment horizontal="center"/>
    </xf>
    <xf numFmtId="0" fontId="14" fillId="2" borderId="5" xfId="1" applyFont="1" applyBorder="1" applyAlignment="1">
      <alignment horizontal="left" vertical="top" wrapText="1"/>
      <protection locked="0"/>
    </xf>
    <xf numFmtId="0" fontId="10" fillId="2" borderId="5" xfId="1" applyBorder="1" applyAlignment="1">
      <alignment horizontal="left" vertical="top" wrapText="1"/>
      <protection locked="0"/>
    </xf>
    <xf numFmtId="0" fontId="10" fillId="2" borderId="0" xfId="1" applyBorder="1" applyAlignment="1">
      <alignment horizontal="left" vertical="top" wrapText="1"/>
      <protection locked="0"/>
    </xf>
    <xf numFmtId="0" fontId="0" fillId="0" borderId="0" xfId="6" applyFont="1" applyAlignment="1">
      <alignment horizontal="left"/>
    </xf>
    <xf numFmtId="0" fontId="10" fillId="2" borderId="1" xfId="1" applyAlignment="1">
      <alignment horizontal="center" vertical="center" wrapText="1"/>
      <protection locked="0"/>
    </xf>
    <xf numFmtId="0" fontId="9" fillId="0" borderId="0" xfId="6" applyAlignment="1">
      <alignment horizontal="right" vertical="center" wrapText="1"/>
    </xf>
    <xf numFmtId="0" fontId="9" fillId="0" borderId="0" xfId="6" applyBorder="1" applyAlignment="1">
      <alignment horizontal="right" vertical="center" wrapText="1"/>
    </xf>
    <xf numFmtId="0" fontId="10" fillId="2" borderId="43" xfId="1" applyBorder="1" applyAlignment="1">
      <alignment horizontal="center"/>
      <protection locked="0"/>
    </xf>
    <xf numFmtId="0" fontId="9" fillId="0" borderId="3" xfId="6" applyBorder="1" applyAlignment="1">
      <alignment horizontal="center" vertical="center"/>
    </xf>
    <xf numFmtId="0" fontId="10" fillId="2" borderId="43" xfId="1" applyBorder="1" applyAlignment="1">
      <alignment horizontal="left" vertical="center"/>
      <protection locked="0"/>
    </xf>
    <xf numFmtId="0" fontId="9" fillId="0" borderId="0" xfId="6" applyAlignment="1">
      <alignment horizontal="right"/>
    </xf>
    <xf numFmtId="0" fontId="9" fillId="0" borderId="3" xfId="6" applyBorder="1" applyAlignment="1">
      <alignment horizontal="right"/>
    </xf>
    <xf numFmtId="0" fontId="10" fillId="2" borderId="16" xfId="1" applyBorder="1" applyAlignment="1">
      <alignment horizontal="center"/>
      <protection locked="0"/>
    </xf>
    <xf numFmtId="0" fontId="10" fillId="2" borderId="20" xfId="1" applyBorder="1" applyAlignment="1">
      <alignment horizontal="center"/>
      <protection locked="0"/>
    </xf>
    <xf numFmtId="0" fontId="10" fillId="2" borderId="16" xfId="1" applyBorder="1" applyAlignment="1">
      <alignment horizontal="left"/>
      <protection locked="0"/>
    </xf>
    <xf numFmtId="0" fontId="10" fillId="2" borderId="20" xfId="1" applyBorder="1" applyAlignment="1">
      <alignment horizontal="left"/>
      <protection locked="0"/>
    </xf>
    <xf numFmtId="0" fontId="7" fillId="4" borderId="0" xfId="3" applyFont="1" applyAlignment="1">
      <alignment horizontal="center"/>
    </xf>
    <xf numFmtId="0" fontId="9" fillId="0" borderId="0" xfId="6" applyAlignment="1">
      <alignment horizontal="right" vertical="center"/>
    </xf>
    <xf numFmtId="0" fontId="9" fillId="0" borderId="3" xfId="6" applyBorder="1" applyAlignment="1">
      <alignment horizontal="right" vertical="center"/>
    </xf>
    <xf numFmtId="0" fontId="9" fillId="0" borderId="0" xfId="6" applyAlignment="1">
      <alignment horizontal="center" vertical="center" wrapText="1"/>
    </xf>
    <xf numFmtId="0" fontId="9" fillId="0" borderId="3" xfId="6" applyBorder="1" applyAlignment="1">
      <alignment horizontal="center" vertical="center" wrapText="1"/>
    </xf>
    <xf numFmtId="0" fontId="10" fillId="2" borderId="1" xfId="1" applyAlignment="1">
      <alignment vertical="top" wrapText="1"/>
      <protection locked="0"/>
    </xf>
    <xf numFmtId="0" fontId="0" fillId="3" borderId="25" xfId="2" applyFont="1" applyBorder="1" applyAlignment="1">
      <alignment horizontal="center" vertical="center" wrapText="1"/>
    </xf>
    <xf numFmtId="0" fontId="0" fillId="3" borderId="26" xfId="2" applyFont="1" applyBorder="1" applyAlignment="1">
      <alignment horizontal="center" vertical="center" wrapText="1"/>
    </xf>
    <xf numFmtId="0" fontId="0" fillId="3" borderId="27" xfId="2" applyFont="1" applyBorder="1" applyAlignment="1">
      <alignment horizontal="center" vertical="center" wrapText="1"/>
    </xf>
    <xf numFmtId="0" fontId="15" fillId="7" borderId="1" xfId="4" applyAlignment="1" applyProtection="1">
      <alignment horizontal="center"/>
      <protection hidden="1"/>
    </xf>
    <xf numFmtId="0" fontId="20" fillId="0" borderId="0" xfId="6" applyFont="1">
      <alignment horizontal="center"/>
    </xf>
    <xf numFmtId="0" fontId="9" fillId="0" borderId="0" xfId="6" applyAlignment="1">
      <alignment horizontal="left" vertical="center"/>
    </xf>
    <xf numFmtId="0" fontId="9" fillId="0" borderId="3" xfId="6" applyBorder="1" applyAlignment="1">
      <alignment horizontal="left" vertical="center"/>
    </xf>
    <xf numFmtId="0" fontId="10" fillId="2" borderId="16" xfId="1" applyBorder="1" applyAlignment="1">
      <alignment horizontal="center" vertical="center"/>
      <protection locked="0"/>
    </xf>
    <xf numFmtId="0" fontId="10" fillId="2" borderId="20" xfId="1" applyBorder="1" applyAlignment="1">
      <alignment horizontal="center" vertical="center"/>
      <protection locked="0"/>
    </xf>
    <xf numFmtId="0" fontId="10" fillId="2" borderId="1" xfId="1" applyAlignment="1">
      <alignment horizontal="left" vertical="center"/>
      <protection locked="0"/>
    </xf>
    <xf numFmtId="0" fontId="9" fillId="0" borderId="0" xfId="6" applyAlignment="1">
      <alignment horizontal="left" vertical="center" wrapText="1"/>
    </xf>
    <xf numFmtId="0" fontId="9" fillId="0" borderId="0" xfId="6" applyAlignment="1">
      <alignment horizontal="center" wrapText="1"/>
    </xf>
    <xf numFmtId="0" fontId="9" fillId="0" borderId="0" xfId="6" applyAlignment="1">
      <alignment horizontal="left" vertical="top" wrapText="1"/>
    </xf>
    <xf numFmtId="0" fontId="9" fillId="0" borderId="3" xfId="6" applyBorder="1" applyAlignment="1">
      <alignment horizontal="left" vertical="top" wrapText="1"/>
    </xf>
    <xf numFmtId="0" fontId="9" fillId="0" borderId="0" xfId="6" applyBorder="1" applyAlignment="1">
      <alignment horizontal="left" vertical="top" wrapText="1"/>
    </xf>
    <xf numFmtId="0" fontId="10" fillId="2" borderId="1" xfId="1" applyAlignment="1">
      <alignment horizontal="right" vertical="center"/>
      <protection locked="0"/>
    </xf>
    <xf numFmtId="0" fontId="20" fillId="0" borderId="0" xfId="6" applyFont="1" applyAlignment="1">
      <alignment horizontal="right"/>
    </xf>
    <xf numFmtId="0" fontId="20" fillId="0" borderId="3" xfId="6" applyFont="1" applyBorder="1" applyAlignment="1">
      <alignment horizontal="right"/>
    </xf>
    <xf numFmtId="0" fontId="9" fillId="0" borderId="3" xfId="6" applyBorder="1" applyAlignment="1">
      <alignment horizontal="right" vertical="center" wrapText="1"/>
    </xf>
    <xf numFmtId="0" fontId="9" fillId="0" borderId="7" xfId="6" applyBorder="1" applyAlignment="1" applyProtection="1">
      <alignment horizontal="right"/>
      <protection locked="0"/>
    </xf>
    <xf numFmtId="0" fontId="9" fillId="0" borderId="0" xfId="6" applyBorder="1" applyAlignment="1" applyProtection="1">
      <alignment horizontal="right"/>
      <protection locked="0"/>
    </xf>
    <xf numFmtId="0" fontId="9" fillId="0" borderId="3" xfId="6" applyBorder="1" applyAlignment="1" applyProtection="1">
      <alignment horizontal="right"/>
      <protection locked="0"/>
    </xf>
    <xf numFmtId="0" fontId="15" fillId="7" borderId="1" xfId="4" applyAlignment="1" applyProtection="1">
      <alignment horizontal="left"/>
      <protection hidden="1"/>
    </xf>
    <xf numFmtId="0" fontId="10" fillId="2" borderId="4" xfId="1" applyBorder="1" applyAlignment="1">
      <alignment horizontal="center" vertical="center"/>
      <protection locked="0"/>
    </xf>
    <xf numFmtId="0" fontId="10" fillId="2" borderId="5" xfId="1" applyBorder="1" applyAlignment="1">
      <alignment horizontal="center" vertical="center"/>
      <protection locked="0"/>
    </xf>
    <xf numFmtId="0" fontId="10" fillId="2" borderId="6" xfId="1" applyBorder="1" applyAlignment="1">
      <alignment horizontal="center" vertical="center"/>
      <protection locked="0"/>
    </xf>
    <xf numFmtId="0" fontId="10" fillId="2" borderId="7" xfId="1" applyBorder="1" applyAlignment="1">
      <alignment horizontal="center" vertical="center"/>
      <protection locked="0"/>
    </xf>
    <xf numFmtId="0" fontId="10" fillId="2" borderId="0" xfId="1" applyBorder="1" applyAlignment="1">
      <alignment horizontal="center" vertical="center"/>
      <protection locked="0"/>
    </xf>
    <xf numFmtId="0" fontId="10" fillId="2" borderId="3" xfId="1" applyBorder="1" applyAlignment="1">
      <alignment horizontal="center" vertical="center"/>
      <protection locked="0"/>
    </xf>
    <xf numFmtId="0" fontId="10" fillId="2" borderId="8" xfId="1" applyBorder="1" applyAlignment="1">
      <alignment horizontal="center" vertical="center"/>
      <protection locked="0"/>
    </xf>
    <xf numFmtId="0" fontId="10" fillId="2" borderId="9" xfId="1" applyBorder="1" applyAlignment="1">
      <alignment horizontal="center" vertical="center"/>
      <protection locked="0"/>
    </xf>
    <xf numFmtId="0" fontId="10" fillId="2" borderId="10" xfId="1" applyBorder="1" applyAlignment="1">
      <alignment horizontal="center" vertical="center"/>
      <protection locked="0"/>
    </xf>
    <xf numFmtId="0" fontId="10" fillId="2" borderId="4" xfId="1" applyBorder="1" applyAlignment="1" applyProtection="1">
      <alignment horizontal="center" vertical="center" wrapText="1"/>
      <protection locked="0"/>
    </xf>
    <xf numFmtId="0" fontId="10" fillId="2" borderId="5" xfId="1" applyBorder="1" applyAlignment="1" applyProtection="1">
      <alignment horizontal="center" vertical="center" wrapText="1"/>
      <protection locked="0"/>
    </xf>
    <xf numFmtId="0" fontId="10" fillId="2" borderId="6" xfId="1" applyBorder="1" applyAlignment="1" applyProtection="1">
      <alignment horizontal="center" vertical="center" wrapText="1"/>
      <protection locked="0"/>
    </xf>
    <xf numFmtId="0" fontId="10" fillId="2" borderId="7" xfId="1" applyBorder="1" applyAlignment="1" applyProtection="1">
      <alignment horizontal="center" vertical="center" wrapText="1"/>
      <protection locked="0"/>
    </xf>
    <xf numFmtId="0" fontId="10" fillId="2" borderId="0" xfId="1" applyBorder="1" applyAlignment="1" applyProtection="1">
      <alignment horizontal="center" vertical="center" wrapText="1"/>
      <protection locked="0"/>
    </xf>
    <xf numFmtId="0" fontId="10" fillId="2" borderId="3" xfId="1" applyBorder="1" applyAlignment="1" applyProtection="1">
      <alignment horizontal="center" vertical="center" wrapText="1"/>
      <protection locked="0"/>
    </xf>
    <xf numFmtId="0" fontId="10" fillId="2" borderId="8" xfId="1" applyBorder="1" applyAlignment="1" applyProtection="1">
      <alignment horizontal="center" vertical="center" wrapText="1"/>
      <protection locked="0"/>
    </xf>
    <xf numFmtId="0" fontId="10" fillId="2" borderId="9" xfId="1" applyBorder="1" applyAlignment="1" applyProtection="1">
      <alignment horizontal="center" vertical="center" wrapText="1"/>
      <protection locked="0"/>
    </xf>
    <xf numFmtId="0" fontId="10" fillId="2" borderId="10" xfId="1" applyBorder="1" applyAlignment="1" applyProtection="1">
      <alignment horizontal="center" vertical="center" wrapText="1"/>
      <protection locked="0"/>
    </xf>
    <xf numFmtId="0" fontId="9" fillId="0" borderId="0" xfId="6" applyAlignment="1">
      <alignment horizontal="left" wrapText="1"/>
    </xf>
    <xf numFmtId="0" fontId="9" fillId="0" borderId="3" xfId="6" applyBorder="1" applyAlignment="1">
      <alignment horizontal="left" wrapText="1"/>
    </xf>
    <xf numFmtId="0" fontId="20" fillId="4" borderId="9" xfId="3" applyFont="1" applyBorder="1" applyAlignment="1">
      <alignment horizontal="center"/>
    </xf>
    <xf numFmtId="0" fontId="20" fillId="4" borderId="34" xfId="3" applyFont="1" applyBorder="1" applyAlignment="1">
      <alignment horizontal="center"/>
    </xf>
    <xf numFmtId="0" fontId="9" fillId="0" borderId="3" xfId="6" applyBorder="1" applyAlignment="1">
      <alignment horizontal="left" vertical="center" wrapText="1"/>
    </xf>
    <xf numFmtId="0" fontId="10" fillId="2" borderId="4" xfId="1" applyBorder="1" applyAlignment="1">
      <alignment horizontal="left" vertical="top" wrapText="1"/>
      <protection locked="0"/>
    </xf>
    <xf numFmtId="0" fontId="10" fillId="2" borderId="6" xfId="1" applyBorder="1" applyAlignment="1">
      <alignment horizontal="left" vertical="top" wrapText="1"/>
      <protection locked="0"/>
    </xf>
    <xf numFmtId="0" fontId="10" fillId="2" borderId="7" xfId="1" applyBorder="1" applyAlignment="1">
      <alignment horizontal="left" vertical="top" wrapText="1"/>
      <protection locked="0"/>
    </xf>
    <xf numFmtId="0" fontId="10" fillId="2" borderId="3" xfId="1" applyBorder="1" applyAlignment="1">
      <alignment horizontal="left" vertical="top" wrapText="1"/>
      <protection locked="0"/>
    </xf>
    <xf numFmtId="0" fontId="10" fillId="2" borderId="8" xfId="1" applyBorder="1" applyAlignment="1">
      <alignment horizontal="left" vertical="top" wrapText="1"/>
      <protection locked="0"/>
    </xf>
    <xf numFmtId="0" fontId="10" fillId="2" borderId="9" xfId="1" applyBorder="1" applyAlignment="1">
      <alignment horizontal="left" vertical="top" wrapText="1"/>
      <protection locked="0"/>
    </xf>
    <xf numFmtId="0" fontId="10" fillId="2" borderId="10" xfId="1" applyBorder="1" applyAlignment="1">
      <alignment horizontal="left" vertical="top" wrapText="1"/>
      <protection locked="0"/>
    </xf>
    <xf numFmtId="0" fontId="0" fillId="3" borderId="2" xfId="2" applyFont="1" applyAlignment="1">
      <alignment horizontal="center" vertical="center"/>
    </xf>
    <xf numFmtId="0" fontId="10" fillId="2" borderId="1" xfId="1" applyAlignment="1">
      <alignment horizontal="left" vertical="top" wrapText="1"/>
      <protection locked="0"/>
    </xf>
    <xf numFmtId="0" fontId="0" fillId="3" borderId="2" xfId="2" applyFont="1" applyAlignment="1">
      <alignment horizontal="center" vertical="center" wrapText="1"/>
    </xf>
    <xf numFmtId="0" fontId="20" fillId="4" borderId="9" xfId="3" applyFont="1" applyBorder="1" applyAlignment="1">
      <alignment horizontal="center" vertical="center"/>
    </xf>
    <xf numFmtId="0" fontId="0" fillId="10" borderId="19" xfId="0" applyFill="1" applyBorder="1" applyAlignment="1">
      <alignment horizontal="center" vertical="center" wrapText="1"/>
    </xf>
    <xf numFmtId="0" fontId="0" fillId="10" borderId="14" xfId="0" applyFill="1" applyBorder="1" applyAlignment="1">
      <alignment horizontal="center" vertical="center" wrapText="1"/>
    </xf>
    <xf numFmtId="0" fontId="9" fillId="3" borderId="2" xfId="2" applyAlignment="1">
      <alignment horizontal="center" vertical="center" wrapText="1"/>
    </xf>
    <xf numFmtId="0" fontId="0" fillId="3" borderId="25" xfId="2" applyFont="1" applyBorder="1" applyAlignment="1">
      <alignment horizontal="center" vertical="top" wrapText="1"/>
    </xf>
    <xf numFmtId="0" fontId="0" fillId="3" borderId="26" xfId="2" applyFont="1" applyBorder="1" applyAlignment="1">
      <alignment horizontal="center" vertical="top" wrapText="1"/>
    </xf>
    <xf numFmtId="0" fontId="0" fillId="3" borderId="27" xfId="2" applyFont="1" applyBorder="1" applyAlignment="1">
      <alignment horizontal="center" vertical="top" wrapText="1"/>
    </xf>
    <xf numFmtId="0" fontId="6" fillId="4" borderId="0" xfId="3" applyFont="1" applyAlignment="1">
      <alignment horizontal="center"/>
    </xf>
    <xf numFmtId="0" fontId="24" fillId="11" borderId="0" xfId="0" applyFont="1" applyFill="1" applyAlignment="1">
      <alignment horizontal="center" vertical="center" wrapText="1"/>
    </xf>
    <xf numFmtId="0" fontId="24" fillId="11" borderId="0" xfId="0" applyFont="1" applyFill="1" applyAlignment="1">
      <alignment horizontal="center" vertical="center"/>
    </xf>
    <xf numFmtId="0" fontId="9" fillId="0" borderId="0" xfId="6" applyAlignment="1">
      <alignment horizontal="center"/>
    </xf>
    <xf numFmtId="0" fontId="9" fillId="0" borderId="3" xfId="6" applyBorder="1" applyAlignment="1">
      <alignment horizontal="center"/>
    </xf>
    <xf numFmtId="0" fontId="6" fillId="10" borderId="17" xfId="5" applyFont="1" applyFill="1" applyBorder="1" applyAlignment="1">
      <alignment horizontal="center"/>
    </xf>
    <xf numFmtId="0" fontId="11" fillId="10" borderId="30" xfId="5" applyFill="1" applyBorder="1" applyAlignment="1">
      <alignment horizontal="center"/>
    </xf>
    <xf numFmtId="0" fontId="22" fillId="2" borderId="1" xfId="8" applyFill="1" applyBorder="1" applyAlignment="1" applyProtection="1">
      <alignment horizontal="left"/>
      <protection locked="0"/>
    </xf>
    <xf numFmtId="0" fontId="10" fillId="2" borderId="1" xfId="1" applyAlignment="1" applyProtection="1">
      <alignment horizontal="center" vertical="center"/>
    </xf>
    <xf numFmtId="0" fontId="5" fillId="10" borderId="17" xfId="5" applyFont="1" applyFill="1" applyBorder="1" applyAlignment="1">
      <alignment horizontal="center"/>
    </xf>
    <xf numFmtId="0" fontId="20" fillId="4" borderId="5" xfId="3" applyFont="1" applyBorder="1" applyAlignment="1">
      <alignment horizontal="center" vertical="center"/>
    </xf>
    <xf numFmtId="0" fontId="20" fillId="4" borderId="0" xfId="3" applyFont="1" applyBorder="1" applyAlignment="1">
      <alignment horizontal="center" vertical="center"/>
    </xf>
    <xf numFmtId="0" fontId="1" fillId="10" borderId="5" xfId="5" applyFont="1" applyFill="1" applyBorder="1" applyAlignment="1">
      <alignment horizontal="center" vertical="center"/>
    </xf>
    <xf numFmtId="0" fontId="3" fillId="10" borderId="5" xfId="5" applyFont="1" applyFill="1" applyBorder="1" applyAlignment="1">
      <alignment horizontal="center" vertical="center"/>
    </xf>
    <xf numFmtId="0" fontId="3" fillId="10" borderId="42" xfId="5" applyFont="1" applyFill="1" applyBorder="1" applyAlignment="1">
      <alignment horizontal="center" vertical="center"/>
    </xf>
    <xf numFmtId="0" fontId="20" fillId="4" borderId="5" xfId="3" applyFont="1" applyBorder="1" applyAlignment="1">
      <alignment horizontal="center" vertical="center" wrapText="1"/>
    </xf>
    <xf numFmtId="0" fontId="20" fillId="4" borderId="0" xfId="3" applyFont="1" applyAlignment="1">
      <alignment horizontal="center" vertical="center" wrapText="1"/>
    </xf>
    <xf numFmtId="0" fontId="9" fillId="0" borderId="0" xfId="6" applyAlignment="1">
      <alignment horizontal="left" vertical="top"/>
    </xf>
    <xf numFmtId="0" fontId="9" fillId="0" borderId="3" xfId="6" applyBorder="1" applyAlignment="1">
      <alignment horizontal="left" vertical="top"/>
    </xf>
    <xf numFmtId="0" fontId="0" fillId="10" borderId="22" xfId="0" applyFill="1" applyBorder="1" applyAlignment="1">
      <alignment horizontal="center"/>
    </xf>
    <xf numFmtId="0" fontId="0" fillId="10" borderId="31" xfId="0" applyFill="1" applyBorder="1" applyAlignment="1">
      <alignment horizontal="center"/>
    </xf>
    <xf numFmtId="0" fontId="22" fillId="2" borderId="7" xfId="8" applyFill="1" applyBorder="1" applyAlignment="1" applyProtection="1">
      <alignment horizontal="left" vertical="top" wrapText="1"/>
      <protection locked="0"/>
    </xf>
    <xf numFmtId="0" fontId="22" fillId="2" borderId="0" xfId="8" applyFill="1" applyBorder="1" applyAlignment="1" applyProtection="1">
      <alignment horizontal="left" vertical="top" wrapText="1"/>
      <protection locked="0"/>
    </xf>
    <xf numFmtId="0" fontId="9" fillId="0" borderId="32" xfId="6" applyBorder="1" applyAlignment="1">
      <alignment horizontal="left" vertical="top"/>
    </xf>
    <xf numFmtId="0" fontId="4" fillId="4" borderId="9" xfId="3" applyFont="1" applyBorder="1" applyAlignment="1">
      <alignment horizontal="center"/>
    </xf>
    <xf numFmtId="0" fontId="10" fillId="2" borderId="4" xfId="1" applyBorder="1" applyAlignment="1">
      <alignment horizontal="center" vertical="center" wrapText="1"/>
      <protection locked="0"/>
    </xf>
    <xf numFmtId="0" fontId="10" fillId="2" borderId="5" xfId="1" applyBorder="1" applyAlignment="1">
      <alignment horizontal="center" vertical="center" wrapText="1"/>
      <protection locked="0"/>
    </xf>
    <xf numFmtId="0" fontId="10" fillId="2" borderId="6" xfId="1" applyBorder="1" applyAlignment="1">
      <alignment horizontal="center" vertical="center" wrapText="1"/>
      <protection locked="0"/>
    </xf>
    <xf numFmtId="0" fontId="10" fillId="2" borderId="7" xfId="1" applyBorder="1" applyAlignment="1">
      <alignment horizontal="center" vertical="center" wrapText="1"/>
      <protection locked="0"/>
    </xf>
    <xf numFmtId="0" fontId="10" fillId="2" borderId="0" xfId="1" applyBorder="1" applyAlignment="1">
      <alignment horizontal="center" vertical="center" wrapText="1"/>
      <protection locked="0"/>
    </xf>
    <xf numFmtId="0" fontId="10" fillId="2" borderId="3" xfId="1" applyBorder="1" applyAlignment="1">
      <alignment horizontal="center" vertical="center" wrapText="1"/>
      <protection locked="0"/>
    </xf>
    <xf numFmtId="0" fontId="10" fillId="2" borderId="8" xfId="1" applyBorder="1" applyAlignment="1">
      <alignment horizontal="center" vertical="center" wrapText="1"/>
      <protection locked="0"/>
    </xf>
    <xf numFmtId="0" fontId="10" fillId="2" borderId="9" xfId="1" applyBorder="1" applyAlignment="1">
      <alignment horizontal="center" vertical="center" wrapText="1"/>
      <protection locked="0"/>
    </xf>
    <xf numFmtId="0" fontId="10" fillId="2" borderId="10" xfId="1" applyBorder="1" applyAlignment="1">
      <alignment horizontal="center" vertical="center" wrapText="1"/>
      <protection locked="0"/>
    </xf>
    <xf numFmtId="0" fontId="5" fillId="10" borderId="17" xfId="5" applyFont="1" applyFill="1" applyBorder="1" applyAlignment="1">
      <alignment horizontal="left"/>
    </xf>
    <xf numFmtId="0" fontId="11" fillId="10" borderId="18" xfId="5" applyFill="1" applyBorder="1" applyAlignment="1">
      <alignment horizontal="left"/>
    </xf>
    <xf numFmtId="0" fontId="1" fillId="0" borderId="17" xfId="5" applyFont="1" applyFill="1" applyBorder="1" applyAlignment="1">
      <alignment horizontal="center"/>
    </xf>
    <xf numFmtId="0" fontId="11" fillId="0" borderId="30" xfId="5" applyFill="1" applyBorder="1" applyAlignment="1">
      <alignment horizontal="center"/>
    </xf>
    <xf numFmtId="0" fontId="10" fillId="2" borderId="24" xfId="1" applyBorder="1" applyAlignment="1">
      <alignment horizontal="center"/>
      <protection locked="0"/>
    </xf>
    <xf numFmtId="0" fontId="11" fillId="10" borderId="30" xfId="5" applyFill="1" applyBorder="1" applyAlignment="1">
      <alignment horizontal="left"/>
    </xf>
    <xf numFmtId="0" fontId="10" fillId="2" borderId="1" xfId="1" applyAlignment="1">
      <protection locked="0"/>
    </xf>
    <xf numFmtId="0" fontId="1" fillId="10" borderId="42" xfId="5" applyFont="1" applyFill="1" applyBorder="1" applyAlignment="1">
      <alignment horizontal="center" vertical="center"/>
    </xf>
    <xf numFmtId="0" fontId="9" fillId="0" borderId="0" xfId="6" applyBorder="1" applyAlignment="1">
      <alignment horizontal="left" vertical="center"/>
    </xf>
    <xf numFmtId="0" fontId="9" fillId="0" borderId="0" xfId="6" applyBorder="1" applyAlignment="1">
      <alignment horizontal="left" vertical="center" wrapText="1"/>
    </xf>
    <xf numFmtId="0" fontId="9" fillId="3" borderId="2" xfId="2" applyAlignment="1">
      <alignment horizontal="center" vertical="center"/>
    </xf>
    <xf numFmtId="0" fontId="0" fillId="10" borderId="22" xfId="0" applyFill="1" applyBorder="1" applyAlignment="1">
      <alignment horizontal="center" vertical="center"/>
    </xf>
    <xf numFmtId="0" fontId="0" fillId="10" borderId="31" xfId="0" applyFill="1" applyBorder="1" applyAlignment="1">
      <alignment horizontal="center" vertical="center"/>
    </xf>
    <xf numFmtId="0" fontId="0" fillId="5" borderId="0" xfId="0" applyFill="1" applyBorder="1" applyAlignment="1" applyProtection="1">
      <alignment horizontal="center" vertical="center"/>
      <protection hidden="1"/>
    </xf>
    <xf numFmtId="0" fontId="0" fillId="3" borderId="35" xfId="2" applyFont="1" applyBorder="1" applyAlignment="1">
      <alignment horizontal="center" vertical="center" wrapText="1"/>
    </xf>
    <xf numFmtId="0" fontId="0" fillId="3" borderId="12" xfId="2" applyFont="1" applyBorder="1" applyAlignment="1">
      <alignment horizontal="center" vertical="center" wrapText="1"/>
    </xf>
    <xf numFmtId="0" fontId="0" fillId="3" borderId="36" xfId="2" applyFont="1" applyBorder="1" applyAlignment="1">
      <alignment horizontal="center" vertical="center" wrapText="1"/>
    </xf>
    <xf numFmtId="0" fontId="0" fillId="3" borderId="13" xfId="2" applyFont="1" applyBorder="1" applyAlignment="1">
      <alignment horizontal="center" vertical="center" wrapText="1"/>
    </xf>
    <xf numFmtId="0" fontId="0" fillId="3" borderId="37" xfId="2" applyFont="1" applyBorder="1" applyAlignment="1">
      <alignment horizontal="center" vertical="center" wrapText="1"/>
    </xf>
    <xf numFmtId="0" fontId="0" fillId="3" borderId="15" xfId="2" applyFont="1" applyBorder="1" applyAlignment="1">
      <alignment horizontal="center" vertical="center" wrapText="1"/>
    </xf>
    <xf numFmtId="0" fontId="0" fillId="10" borderId="38" xfId="0" applyFill="1" applyBorder="1" applyAlignment="1">
      <alignment horizontal="center"/>
    </xf>
    <xf numFmtId="0" fontId="0" fillId="10" borderId="39" xfId="0" applyFill="1" applyBorder="1" applyAlignment="1">
      <alignment horizontal="center"/>
    </xf>
    <xf numFmtId="0" fontId="10" fillId="2" borderId="13" xfId="1" applyBorder="1" applyAlignment="1">
      <alignment horizontal="left" vertical="top" wrapText="1"/>
      <protection locked="0"/>
    </xf>
    <xf numFmtId="0" fontId="5" fillId="4" borderId="0" xfId="3" applyFont="1" applyAlignment="1">
      <alignment horizontal="center"/>
    </xf>
    <xf numFmtId="0" fontId="20" fillId="0" borderId="0" xfId="6" applyFont="1" applyAlignment="1">
      <alignment horizontal="left"/>
    </xf>
    <xf numFmtId="0" fontId="20" fillId="4" borderId="40" xfId="3" applyFont="1" applyBorder="1" applyAlignment="1">
      <alignment horizontal="center"/>
    </xf>
    <xf numFmtId="0" fontId="4" fillId="10" borderId="17" xfId="5" applyFont="1" applyFill="1" applyBorder="1" applyAlignment="1">
      <alignment horizontal="center"/>
    </xf>
    <xf numFmtId="0" fontId="11" fillId="10" borderId="18" xfId="5" applyFill="1" applyBorder="1" applyAlignment="1">
      <alignment horizontal="center"/>
    </xf>
    <xf numFmtId="0" fontId="11" fillId="0" borderId="17" xfId="5" applyFill="1" applyBorder="1" applyAlignment="1">
      <alignment horizontal="center"/>
    </xf>
    <xf numFmtId="0" fontId="11" fillId="0" borderId="18" xfId="5" applyFill="1" applyBorder="1" applyAlignment="1">
      <alignment horizontal="center"/>
    </xf>
    <xf numFmtId="0" fontId="9" fillId="0" borderId="0" xfId="6">
      <alignment horizontal="center"/>
    </xf>
    <xf numFmtId="0" fontId="9" fillId="0" borderId="9" xfId="6" applyBorder="1" applyAlignment="1">
      <alignment horizontal="center" wrapText="1"/>
    </xf>
    <xf numFmtId="0" fontId="9" fillId="0" borderId="33" xfId="6" applyBorder="1">
      <alignment horizontal="center"/>
    </xf>
    <xf numFmtId="0" fontId="10" fillId="2" borderId="23" xfId="1" applyBorder="1" applyAlignment="1">
      <alignment horizontal="center"/>
      <protection locked="0"/>
    </xf>
    <xf numFmtId="0" fontId="0" fillId="9" borderId="5" xfId="0" applyBorder="1" applyAlignment="1">
      <alignment horizontal="left"/>
    </xf>
    <xf numFmtId="0" fontId="0" fillId="9" borderId="0" xfId="0" applyAlignment="1">
      <alignment horizontal="left"/>
    </xf>
    <xf numFmtId="0" fontId="0" fillId="5" borderId="0" xfId="0" applyFill="1" applyAlignment="1" applyProtection="1">
      <alignment horizontal="center"/>
      <protection hidden="1"/>
    </xf>
    <xf numFmtId="0" fontId="9" fillId="0" borderId="0" xfId="6" applyAlignment="1">
      <alignment horizontal="right" wrapText="1"/>
    </xf>
    <xf numFmtId="0" fontId="9" fillId="0" borderId="3" xfId="6" applyBorder="1" applyAlignment="1">
      <alignment horizontal="right" wrapText="1"/>
    </xf>
    <xf numFmtId="0" fontId="14" fillId="2" borderId="23" xfId="1" applyFont="1" applyBorder="1" applyAlignment="1">
      <alignment horizontal="center" vertical="center" wrapText="1"/>
      <protection locked="0"/>
    </xf>
    <xf numFmtId="0" fontId="14" fillId="2" borderId="41" xfId="1" applyFont="1" applyBorder="1" applyAlignment="1">
      <alignment horizontal="center" vertical="center" wrapText="1"/>
      <protection locked="0"/>
    </xf>
    <xf numFmtId="0" fontId="14" fillId="2" borderId="24" xfId="1" applyFont="1" applyBorder="1" applyAlignment="1">
      <alignment horizontal="center" vertical="center" wrapText="1"/>
      <protection locked="0"/>
    </xf>
    <xf numFmtId="0" fontId="10" fillId="2" borderId="23" xfId="1" applyBorder="1" applyAlignment="1">
      <alignment horizontal="center" vertical="center" wrapText="1"/>
      <protection locked="0"/>
    </xf>
    <xf numFmtId="0" fontId="10" fillId="2" borderId="41" xfId="1" applyBorder="1" applyAlignment="1">
      <alignment horizontal="center" vertical="center" wrapText="1"/>
      <protection locked="0"/>
    </xf>
    <xf numFmtId="0" fontId="10" fillId="2" borderId="24" xfId="1" applyBorder="1" applyAlignment="1">
      <alignment horizontal="center" vertical="center" wrapText="1"/>
      <protection locked="0"/>
    </xf>
    <xf numFmtId="0" fontId="0" fillId="5" borderId="7" xfId="0" applyFill="1" applyBorder="1" applyAlignment="1" applyProtection="1">
      <alignment horizontal="center" vertical="center"/>
      <protection hidden="1"/>
    </xf>
    <xf numFmtId="0" fontId="9" fillId="0" borderId="10" xfId="6" applyBorder="1" applyAlignment="1">
      <alignment horizontal="center" vertical="center"/>
    </xf>
    <xf numFmtId="0" fontId="10" fillId="2" borderId="23" xfId="1" applyBorder="1" applyAlignment="1">
      <alignment horizontal="center" vertical="center"/>
      <protection locked="0"/>
    </xf>
    <xf numFmtId="0" fontId="10" fillId="2" borderId="41" xfId="1" applyBorder="1" applyAlignment="1">
      <alignment horizontal="center" vertical="center"/>
      <protection locked="0"/>
    </xf>
    <xf numFmtId="0" fontId="10" fillId="2" borderId="24" xfId="1" applyBorder="1" applyAlignment="1">
      <alignment horizontal="center" vertical="center"/>
      <protection locked="0"/>
    </xf>
  </cellXfs>
  <cellStyles count="9">
    <cellStyle name="40% - 着色 1" xfId="5" builtinId="31"/>
    <cellStyle name="40% - 着色 6" xfId="3" builtinId="51"/>
    <cellStyle name="百分比" xfId="7" builtinId="5"/>
    <cellStyle name="标题行列" xfId="6" xr:uid="{3D122250-4456-4FC2-A0D4-EF1B235E7860}"/>
    <cellStyle name="常规" xfId="0" builtinId="0" customBuiltin="1"/>
    <cellStyle name="超链接" xfId="8" builtinId="8"/>
    <cellStyle name="计算" xfId="4" builtinId="22"/>
    <cellStyle name="输入" xfId="1" builtinId="20" customBuiltin="1"/>
    <cellStyle name="注释" xfId="2" builtinId="10"/>
  </cellStyles>
  <dxfs count="31">
    <dxf>
      <font>
        <strike val="0"/>
        <color theme="0"/>
      </font>
      <fill>
        <patternFill>
          <bgColor theme="0"/>
        </patternFill>
      </fill>
      <border>
        <left/>
        <right/>
        <top/>
        <bottom/>
        <vertical/>
        <horizontal/>
      </border>
    </dxf>
    <dxf>
      <font>
        <color theme="0"/>
      </font>
      <fill>
        <patternFill>
          <bgColor theme="0"/>
        </patternFill>
      </fill>
    </dxf>
    <dxf>
      <font>
        <color theme="2" tint="-9.9948118533890809E-2"/>
      </font>
      <fill>
        <patternFill>
          <bgColor theme="2" tint="-9.9948118533890809E-2"/>
        </patternFill>
      </fill>
      <border>
        <left/>
        <right/>
        <top/>
        <bottom/>
      </border>
    </dxf>
    <dxf>
      <font>
        <color theme="2" tint="-9.9948118533890809E-2"/>
      </font>
      <fill>
        <patternFill>
          <bgColor theme="2" tint="-9.9948118533890809E-2"/>
        </patternFill>
      </fill>
    </dxf>
    <dxf>
      <font>
        <color theme="0"/>
      </font>
      <fill>
        <patternFill>
          <bgColor theme="0"/>
        </patternFill>
      </fill>
      <border>
        <left/>
        <right/>
        <top/>
        <bottom/>
        <vertical/>
        <horizontal/>
      </border>
    </dxf>
    <dxf>
      <font>
        <color rgb="FF9C0006"/>
      </font>
      <fill>
        <patternFill>
          <bgColor rgb="FFFFC7CE"/>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border>
        <left/>
        <right/>
        <top/>
        <bottom/>
      </border>
    </dxf>
    <dxf>
      <font>
        <color theme="0"/>
      </font>
      <fill>
        <patternFill>
          <bgColor theme="0"/>
        </patternFill>
      </fill>
      <border>
        <left/>
        <right/>
        <top/>
        <bottom/>
      </border>
    </dxf>
    <dxf>
      <font>
        <color rgb="FF9C0006"/>
      </font>
      <fill>
        <patternFill>
          <bgColor rgb="FFFFC7CE"/>
        </patternFill>
      </fill>
    </dxf>
    <dxf>
      <font>
        <color rgb="FF9C0006"/>
      </font>
      <fill>
        <patternFill>
          <bgColor rgb="FFFFC7CE"/>
        </patternFill>
      </fill>
    </dxf>
    <dxf>
      <font>
        <color theme="2" tint="-9.9948118533890809E-2"/>
      </font>
      <fill>
        <patternFill>
          <bgColor theme="2" tint="-9.9948118533890809E-2"/>
        </patternFill>
      </fill>
    </dxf>
    <dxf>
      <font>
        <color theme="2" tint="-9.9948118533890809E-2"/>
      </font>
      <fill>
        <patternFill>
          <bgColor theme="2" tint="-9.9948118533890809E-2"/>
        </patternFill>
      </fill>
    </dxf>
    <dxf>
      <font>
        <color theme="0"/>
      </font>
      <fill>
        <patternFill patternType="none">
          <bgColor auto="1"/>
        </patternFill>
      </fill>
      <border>
        <left/>
        <right/>
        <top/>
        <bottom/>
      </border>
    </dxf>
    <dxf>
      <font>
        <color theme="0"/>
      </font>
      <fill>
        <patternFill patternType="none">
          <bgColor auto="1"/>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2" tint="-9.9948118533890809E-2"/>
      </font>
      <fill>
        <patternFill>
          <bgColor theme="2" tint="-9.9948118533890809E-2"/>
        </patternFill>
      </fill>
    </dxf>
    <dxf>
      <font>
        <color theme="0"/>
      </font>
      <fill>
        <patternFill patternType="none">
          <bgColor auto="1"/>
        </patternFill>
      </fill>
      <border>
        <left/>
        <right/>
        <top/>
        <bottom/>
      </border>
    </dxf>
    <dxf>
      <font>
        <color theme="0"/>
      </font>
      <fill>
        <patternFill patternType="none">
          <bgColor auto="1"/>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rgb="FF9C0006"/>
      </font>
      <fill>
        <patternFill>
          <bgColor rgb="FFFFC7CE"/>
        </patternFill>
      </fill>
    </dxf>
  </dxfs>
  <tableStyles count="1" defaultTableStyle="TableStyleMedium2" defaultPivotStyle="PivotStyleLight16">
    <tableStyle name="Invisible" pivot="0" table="0" count="0" xr9:uid="{1B299569-A719-42CF-99AF-9D0A075F1EF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APPS1</c:v>
          </c:tx>
          <c:spPr>
            <a:ln w="19050" cap="rnd">
              <a:solidFill>
                <a:schemeClr val="accent1"/>
              </a:solidFill>
              <a:round/>
            </a:ln>
            <a:effectLst/>
          </c:spPr>
          <c:marker>
            <c:symbol val="none"/>
          </c:marker>
          <c:xVal>
            <c:numRef>
              <c:f>'扭矩指令 Torque Security'!$A$7:$A$12</c:f>
              <c:numCache>
                <c:formatCode>0%</c:formatCode>
                <c:ptCount val="6"/>
                <c:pt idx="0">
                  <c:v>0</c:v>
                </c:pt>
                <c:pt idx="1">
                  <c:v>0.2</c:v>
                </c:pt>
                <c:pt idx="2">
                  <c:v>0.4</c:v>
                </c:pt>
                <c:pt idx="3">
                  <c:v>0.6</c:v>
                </c:pt>
                <c:pt idx="4">
                  <c:v>0.8</c:v>
                </c:pt>
                <c:pt idx="5">
                  <c:v>1</c:v>
                </c:pt>
              </c:numCache>
            </c:numRef>
          </c:xVal>
          <c:yVal>
            <c:numRef>
              <c:f>'扭矩指令 Torque Security'!$B$7:$B$12</c:f>
              <c:numCache>
                <c:formatCode>General</c:formatCode>
                <c:ptCount val="6"/>
              </c:numCache>
            </c:numRef>
          </c:yVal>
          <c:smooth val="0"/>
          <c:extLst>
            <c:ext xmlns:c16="http://schemas.microsoft.com/office/drawing/2014/chart" uri="{C3380CC4-5D6E-409C-BE32-E72D297353CC}">
              <c16:uniqueId val="{00000000-050D-4CEA-A18A-FE71C971685F}"/>
            </c:ext>
          </c:extLst>
        </c:ser>
        <c:ser>
          <c:idx val="1"/>
          <c:order val="1"/>
          <c:tx>
            <c:v>APPS2</c:v>
          </c:tx>
          <c:spPr>
            <a:ln w="19050" cap="rnd">
              <a:solidFill>
                <a:schemeClr val="accent2"/>
              </a:solidFill>
              <a:round/>
            </a:ln>
            <a:effectLst/>
          </c:spPr>
          <c:marker>
            <c:symbol val="none"/>
          </c:marker>
          <c:xVal>
            <c:numRef>
              <c:f>'扭矩指令 Torque Security'!$A$7:$A$12</c:f>
              <c:numCache>
                <c:formatCode>0%</c:formatCode>
                <c:ptCount val="6"/>
                <c:pt idx="0">
                  <c:v>0</c:v>
                </c:pt>
                <c:pt idx="1">
                  <c:v>0.2</c:v>
                </c:pt>
                <c:pt idx="2">
                  <c:v>0.4</c:v>
                </c:pt>
                <c:pt idx="3">
                  <c:v>0.6</c:v>
                </c:pt>
                <c:pt idx="4">
                  <c:v>0.8</c:v>
                </c:pt>
                <c:pt idx="5">
                  <c:v>1</c:v>
                </c:pt>
              </c:numCache>
            </c:numRef>
          </c:xVal>
          <c:yVal>
            <c:numRef>
              <c:f>'扭矩指令 Torque Security'!$D$7:$D$12</c:f>
              <c:numCache>
                <c:formatCode>General</c:formatCode>
                <c:ptCount val="6"/>
              </c:numCache>
            </c:numRef>
          </c:yVal>
          <c:smooth val="0"/>
          <c:extLst>
            <c:ext xmlns:c16="http://schemas.microsoft.com/office/drawing/2014/chart" uri="{C3380CC4-5D6E-409C-BE32-E72D297353CC}">
              <c16:uniqueId val="{00000001-050D-4CEA-A18A-FE71C971685F}"/>
            </c:ext>
          </c:extLst>
        </c:ser>
        <c:dLbls>
          <c:showLegendKey val="0"/>
          <c:showVal val="0"/>
          <c:showCatName val="0"/>
          <c:showSerName val="0"/>
          <c:showPercent val="0"/>
          <c:showBubbleSize val="0"/>
        </c:dLbls>
        <c:axId val="664187487"/>
        <c:axId val="664192479"/>
      </c:scatterChart>
      <c:valAx>
        <c:axId val="664187487"/>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zh-CN" altLang="en-US"/>
                  <a:t>踏板行程 </a:t>
                </a:r>
                <a:r>
                  <a:rPr lang="en-US" altLang="zh-CN"/>
                  <a:t>travel</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C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64192479"/>
        <c:crosses val="autoZero"/>
        <c:crossBetween val="midCat"/>
      </c:valAx>
      <c:valAx>
        <c:axId val="66419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zh-CN" altLang="en-US"/>
                  <a:t>传感器输出 </a:t>
                </a:r>
                <a:r>
                  <a:rPr lang="en-US" altLang="zh-CN"/>
                  <a:t>Output </a:t>
                </a:r>
                <a:r>
                  <a:rPr lang="en-US" baseline="0"/>
                  <a:t>[V]</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C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641874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1</xdr:row>
      <xdr:rowOff>361950</xdr:rowOff>
    </xdr:from>
    <xdr:to>
      <xdr:col>10</xdr:col>
      <xdr:colOff>140239</xdr:colOff>
      <xdr:row>25</xdr:row>
      <xdr:rowOff>168358</xdr:rowOff>
    </xdr:to>
    <xdr:pic>
      <xdr:nvPicPr>
        <xdr:cNvPr id="2" name="图片 1">
          <a:extLst>
            <a:ext uri="{FF2B5EF4-FFF2-40B4-BE49-F238E27FC236}">
              <a16:creationId xmlns:a16="http://schemas.microsoft.com/office/drawing/2014/main" id="{CDAC7C07-8067-37BF-81D7-06D321CE2ACB}"/>
            </a:ext>
          </a:extLst>
        </xdr:cNvPr>
        <xdr:cNvPicPr>
          <a:picLocks noChangeAspect="1"/>
        </xdr:cNvPicPr>
      </xdr:nvPicPr>
      <xdr:blipFill>
        <a:blip xmlns:r="http://schemas.openxmlformats.org/officeDocument/2006/relationships" r:embed="rId1"/>
        <a:stretch>
          <a:fillRect/>
        </a:stretch>
      </xdr:blipFill>
      <xdr:spPr>
        <a:xfrm>
          <a:off x="533400" y="542059"/>
          <a:ext cx="5841384" cy="94491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85672</xdr:colOff>
      <xdr:row>10</xdr:row>
      <xdr:rowOff>17789</xdr:rowOff>
    </xdr:from>
    <xdr:to>
      <xdr:col>33</xdr:col>
      <xdr:colOff>103705</xdr:colOff>
      <xdr:row>31</xdr:row>
      <xdr:rowOff>26786</xdr:rowOff>
    </xdr:to>
    <xdr:pic>
      <xdr:nvPicPr>
        <xdr:cNvPr id="3" name="图片 2">
          <a:extLst>
            <a:ext uri="{FF2B5EF4-FFF2-40B4-BE49-F238E27FC236}">
              <a16:creationId xmlns:a16="http://schemas.microsoft.com/office/drawing/2014/main" id="{911BAC92-4FF1-62F7-DF7B-07AFBCF536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7055860" y="2456189"/>
          <a:ext cx="6616057" cy="37741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95249</xdr:rowOff>
    </xdr:from>
    <xdr:to>
      <xdr:col>6</xdr:col>
      <xdr:colOff>9525</xdr:colOff>
      <xdr:row>34</xdr:row>
      <xdr:rowOff>19049</xdr:rowOff>
    </xdr:to>
    <xdr:graphicFrame macro="">
      <xdr:nvGraphicFramePr>
        <xdr:cNvPr id="2" name="Chart 1">
          <a:extLst>
            <a:ext uri="{FF2B5EF4-FFF2-40B4-BE49-F238E27FC236}">
              <a16:creationId xmlns:a16="http://schemas.microsoft.com/office/drawing/2014/main" id="{74484567-7800-4EB5-B274-C3503FCDA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60"/>
  <sheetViews>
    <sheetView tabSelected="1" workbookViewId="0">
      <selection activeCell="J9" sqref="J9"/>
    </sheetView>
  </sheetViews>
  <sheetFormatPr defaultRowHeight="13.8" x14ac:dyDescent="0.25"/>
  <cols>
    <col min="8" max="8" width="46.77734375" customWidth="1"/>
    <col min="10" max="10" width="35.6640625" customWidth="1"/>
    <col min="11" max="11" width="21.88671875" customWidth="1"/>
    <col min="13" max="13" width="10.88671875" customWidth="1"/>
    <col min="14" max="14" width="12.88671875" customWidth="1"/>
  </cols>
  <sheetData>
    <row r="1" spans="1:15" s="33" customFormat="1" ht="24.9" customHeight="1" x14ac:dyDescent="0.25">
      <c r="A1" s="78" t="s">
        <v>63</v>
      </c>
      <c r="B1" s="79"/>
      <c r="C1" s="79"/>
      <c r="D1" s="79"/>
      <c r="E1" s="79"/>
      <c r="F1" s="79"/>
      <c r="G1" s="79"/>
      <c r="H1" s="79"/>
      <c r="J1" s="78" t="s">
        <v>62</v>
      </c>
      <c r="K1" s="78"/>
      <c r="M1" s="78" t="s">
        <v>64</v>
      </c>
      <c r="N1" s="78"/>
    </row>
    <row r="2" spans="1:15" ht="24.9" customHeight="1" x14ac:dyDescent="0.25">
      <c r="A2" s="80" t="s">
        <v>51</v>
      </c>
      <c r="B2" s="81"/>
      <c r="C2" s="81"/>
      <c r="D2" s="81"/>
      <c r="E2" s="81"/>
      <c r="F2" s="81"/>
      <c r="G2" s="81"/>
      <c r="H2" s="81"/>
      <c r="J2" s="59" t="s">
        <v>52</v>
      </c>
      <c r="K2" s="49" t="str">
        <f ca="1">'规格书 Datasheet'!B1</f>
        <v>BLANK</v>
      </c>
      <c r="M2" s="96" t="str">
        <f ca="1">IF(COUNTIF(K2:K12, "="&amp;IncompleteText), IncompleteText, IF(COUNTIF(K2:K12, "="&amp;ErrorText), ErrorText, OKText))</f>
        <v>BLANK</v>
      </c>
      <c r="N2" s="96"/>
    </row>
    <row r="3" spans="1:15" ht="24.9" customHeight="1" x14ac:dyDescent="0.25">
      <c r="A3" s="81"/>
      <c r="B3" s="81"/>
      <c r="C3" s="81"/>
      <c r="D3" s="81"/>
      <c r="E3" s="81"/>
      <c r="F3" s="81"/>
      <c r="G3" s="81"/>
      <c r="H3" s="81"/>
      <c r="J3" s="59" t="s">
        <v>53</v>
      </c>
      <c r="K3" s="49" t="str">
        <f ca="1">'驱动系统原理图 TS Schematics'!$B$1</f>
        <v>BLANK</v>
      </c>
      <c r="M3" s="96"/>
      <c r="N3" s="96"/>
    </row>
    <row r="4" spans="1:15" s="60" customFormat="1" ht="24.9" customHeight="1" x14ac:dyDescent="0.25">
      <c r="A4" s="81"/>
      <c r="B4" s="81"/>
      <c r="C4" s="81"/>
      <c r="D4" s="81"/>
      <c r="E4" s="81"/>
      <c r="F4" s="81"/>
      <c r="G4" s="81"/>
      <c r="H4" s="81"/>
      <c r="J4" s="59" t="s">
        <v>54</v>
      </c>
      <c r="K4" s="63" t="str">
        <f ca="1">'电池箱 Accumulator'!$B$1</f>
        <v>BLANK</v>
      </c>
      <c r="M4" s="96"/>
      <c r="N4" s="96"/>
    </row>
    <row r="5" spans="1:15" ht="24.9" customHeight="1" x14ac:dyDescent="0.25">
      <c r="A5" s="81"/>
      <c r="B5" s="81"/>
      <c r="C5" s="81"/>
      <c r="D5" s="81"/>
      <c r="E5" s="81"/>
      <c r="F5" s="81"/>
      <c r="G5" s="81"/>
      <c r="H5" s="81"/>
      <c r="J5" s="59" t="s">
        <v>552</v>
      </c>
      <c r="K5" s="63" t="str">
        <f ca="1">'备用电池箱 Spare Accumulator'!$B$1</f>
        <v>BLANK</v>
      </c>
      <c r="M5" s="96"/>
      <c r="N5" s="96"/>
    </row>
    <row r="6" spans="1:15" ht="24.9" customHeight="1" x14ac:dyDescent="0.25">
      <c r="A6" s="81"/>
      <c r="B6" s="81"/>
      <c r="C6" s="81"/>
      <c r="D6" s="81"/>
      <c r="E6" s="81"/>
      <c r="F6" s="81"/>
      <c r="G6" s="81"/>
      <c r="H6" s="81"/>
      <c r="J6" s="59" t="s">
        <v>55</v>
      </c>
      <c r="K6" s="49" t="str">
        <f ca="1">'预充电放电 PrechargeDischarge'!B1</f>
        <v>BLANK</v>
      </c>
    </row>
    <row r="7" spans="1:15" ht="24.9" customHeight="1" x14ac:dyDescent="0.25">
      <c r="A7" s="81"/>
      <c r="B7" s="81"/>
      <c r="C7" s="81"/>
      <c r="D7" s="81"/>
      <c r="E7" s="81"/>
      <c r="F7" s="81"/>
      <c r="G7" s="81"/>
      <c r="H7" s="81"/>
      <c r="J7" s="59" t="s">
        <v>56</v>
      </c>
      <c r="K7" s="49" t="str">
        <f ca="1">'充电 Charging'!B1</f>
        <v>BLANK</v>
      </c>
    </row>
    <row r="8" spans="1:15" ht="24.9" customHeight="1" x14ac:dyDescent="0.25">
      <c r="A8" s="81"/>
      <c r="B8" s="81"/>
      <c r="C8" s="81"/>
      <c r="D8" s="81"/>
      <c r="E8" s="81"/>
      <c r="F8" s="81"/>
      <c r="G8" s="81"/>
      <c r="H8" s="81"/>
      <c r="J8" s="59" t="s">
        <v>57</v>
      </c>
      <c r="K8" s="49" t="str">
        <f ca="1">'安全系统 Shutdown circuit'!B1</f>
        <v>BLANK</v>
      </c>
    </row>
    <row r="9" spans="1:15" ht="24.9" customHeight="1" x14ac:dyDescent="0.25">
      <c r="A9" s="81"/>
      <c r="B9" s="81"/>
      <c r="C9" s="81"/>
      <c r="D9" s="81"/>
      <c r="E9" s="81"/>
      <c r="F9" s="81"/>
      <c r="G9" s="81"/>
      <c r="H9" s="81"/>
      <c r="J9" s="59" t="s">
        <v>58</v>
      </c>
      <c r="K9" s="49" t="str">
        <f ca="1">'扭矩指令 Torque Security'!B1</f>
        <v>BLANK</v>
      </c>
    </row>
    <row r="10" spans="1:15" ht="24.9" customHeight="1" x14ac:dyDescent="0.25">
      <c r="A10" s="81"/>
      <c r="B10" s="81"/>
      <c r="C10" s="81"/>
      <c r="D10" s="81"/>
      <c r="E10" s="81"/>
      <c r="F10" s="81"/>
      <c r="G10" s="81"/>
      <c r="H10" s="81"/>
      <c r="J10" s="59" t="s">
        <v>59</v>
      </c>
      <c r="K10" s="49" t="str">
        <f ca="1">'其他 Others'!B1</f>
        <v>BLANK</v>
      </c>
    </row>
    <row r="11" spans="1:15" ht="24.9" customHeight="1" x14ac:dyDescent="0.25">
      <c r="A11" s="81"/>
      <c r="B11" s="81"/>
      <c r="C11" s="81"/>
      <c r="D11" s="81"/>
      <c r="E11" s="81"/>
      <c r="F11" s="81"/>
      <c r="G11" s="81"/>
      <c r="H11" s="81"/>
      <c r="J11" s="59" t="s">
        <v>60</v>
      </c>
      <c r="K11" s="49" t="str">
        <f ca="1">'接地 Grounding'!B1</f>
        <v>BLANK</v>
      </c>
    </row>
    <row r="12" spans="1:15" ht="24.9" customHeight="1" x14ac:dyDescent="0.25">
      <c r="A12" s="81"/>
      <c r="B12" s="81"/>
      <c r="C12" s="81"/>
      <c r="D12" s="81"/>
      <c r="E12" s="81"/>
      <c r="F12" s="81"/>
      <c r="G12" s="81"/>
      <c r="H12" s="81"/>
      <c r="J12" s="59" t="s">
        <v>61</v>
      </c>
      <c r="K12" s="49" t="str">
        <f>O13</f>
        <v>BLANK</v>
      </c>
    </row>
    <row r="13" spans="1:15" ht="24.9" customHeight="1" x14ac:dyDescent="0.25">
      <c r="A13" s="81"/>
      <c r="B13" s="81"/>
      <c r="C13" s="81"/>
      <c r="D13" s="81"/>
      <c r="E13" s="81"/>
      <c r="F13" s="81"/>
      <c r="G13" s="81"/>
      <c r="H13" s="81"/>
      <c r="J13" s="78" t="s">
        <v>61</v>
      </c>
      <c r="K13" s="78"/>
      <c r="L13" s="78"/>
      <c r="M13" s="78"/>
      <c r="N13" s="78"/>
      <c r="O13" s="49" t="str">
        <f>IF(COUNTIF(O14:O16, "="&amp;IncompleteText), IncompleteText, IF(COUNTIF(O14:O16, "="&amp;ErrorText), ErrorText, OKText))</f>
        <v>BLANK</v>
      </c>
    </row>
    <row r="14" spans="1:15" ht="24.9" customHeight="1" x14ac:dyDescent="0.25">
      <c r="A14" s="81"/>
      <c r="B14" s="81"/>
      <c r="C14" s="81"/>
      <c r="D14" s="81"/>
      <c r="E14" s="81"/>
      <c r="F14" s="81"/>
      <c r="G14" s="81"/>
      <c r="H14" s="81"/>
      <c r="J14" s="16" t="s">
        <v>65</v>
      </c>
      <c r="K14" s="95"/>
      <c r="L14" s="95"/>
      <c r="M14" s="95"/>
      <c r="N14" s="95"/>
      <c r="O14" s="49" t="str">
        <f>IF(ISBLANK(K14),IncompleteText,OKText)</f>
        <v>BLANK</v>
      </c>
    </row>
    <row r="15" spans="1:15" ht="24.9" customHeight="1" x14ac:dyDescent="0.25">
      <c r="A15" s="81"/>
      <c r="B15" s="81"/>
      <c r="C15" s="81"/>
      <c r="D15" s="81"/>
      <c r="E15" s="81"/>
      <c r="F15" s="81"/>
      <c r="G15" s="81"/>
      <c r="H15" s="81"/>
      <c r="J15" s="16" t="s">
        <v>66</v>
      </c>
      <c r="K15" s="95"/>
      <c r="L15" s="95"/>
      <c r="M15" s="95"/>
      <c r="N15" s="95"/>
      <c r="O15" s="49" t="str">
        <f>IF(ISBLANK(K15),IncompleteText,OKText)</f>
        <v>BLANK</v>
      </c>
    </row>
    <row r="16" spans="1:15" ht="24.9" customHeight="1" x14ac:dyDescent="0.25">
      <c r="A16" s="81"/>
      <c r="B16" s="81"/>
      <c r="C16" s="81"/>
      <c r="D16" s="81"/>
      <c r="E16" s="81"/>
      <c r="F16" s="81"/>
      <c r="G16" s="81"/>
      <c r="H16" s="81"/>
      <c r="J16" s="16" t="s">
        <v>67</v>
      </c>
      <c r="K16" s="95"/>
      <c r="L16" s="95"/>
      <c r="M16" s="95"/>
      <c r="N16" s="95"/>
      <c r="O16" s="49" t="str">
        <f>IF(ISBLANK(K16),IncompleteText,OKText)</f>
        <v>BLANK</v>
      </c>
    </row>
    <row r="17" spans="1:15" ht="24.9" customHeight="1" x14ac:dyDescent="0.25">
      <c r="A17" s="81"/>
      <c r="B17" s="81"/>
      <c r="C17" s="81"/>
      <c r="D17" s="81"/>
      <c r="E17" s="81"/>
      <c r="F17" s="81"/>
      <c r="G17" s="81"/>
      <c r="H17" s="81"/>
    </row>
    <row r="18" spans="1:15" ht="24.9" customHeight="1" thickBot="1" x14ac:dyDescent="0.3">
      <c r="A18" s="81"/>
      <c r="B18" s="81"/>
      <c r="C18" s="81"/>
      <c r="D18" s="81"/>
      <c r="E18" s="81"/>
      <c r="F18" s="81"/>
      <c r="G18" s="81"/>
      <c r="H18" s="81"/>
      <c r="J18" s="34" t="s">
        <v>68</v>
      </c>
      <c r="K18" s="22">
        <f>MaxTSVoltage</f>
        <v>0</v>
      </c>
      <c r="L18" s="21" t="s">
        <v>1</v>
      </c>
    </row>
    <row r="19" spans="1:15" ht="30" customHeight="1" thickTop="1" x14ac:dyDescent="0.25">
      <c r="J19" s="35" t="s">
        <v>69</v>
      </c>
      <c r="K19" s="24" t="e">
        <f>FuseNoiCur</f>
        <v>#N/A</v>
      </c>
      <c r="L19" s="23" t="s">
        <v>3</v>
      </c>
    </row>
    <row r="21" spans="1:15" x14ac:dyDescent="0.25">
      <c r="A21" s="82" t="s">
        <v>70</v>
      </c>
      <c r="B21" s="83"/>
      <c r="C21" s="83"/>
      <c r="D21" s="83"/>
      <c r="E21" s="83"/>
      <c r="F21" s="83"/>
      <c r="G21" s="83"/>
      <c r="H21" s="83"/>
      <c r="I21" s="93" t="s">
        <v>71</v>
      </c>
      <c r="J21" s="94"/>
      <c r="K21" s="94"/>
      <c r="L21" s="94"/>
      <c r="M21" s="94"/>
      <c r="N21" s="94"/>
      <c r="O21" s="94"/>
    </row>
    <row r="22" spans="1:15" x14ac:dyDescent="0.25">
      <c r="A22" s="84"/>
      <c r="B22" s="85"/>
      <c r="C22" s="85"/>
      <c r="D22" s="85"/>
      <c r="E22" s="85"/>
      <c r="F22" s="85"/>
      <c r="G22" s="85"/>
      <c r="H22" s="86"/>
      <c r="I22" s="84"/>
      <c r="J22" s="85"/>
      <c r="K22" s="85"/>
      <c r="L22" s="85"/>
      <c r="M22" s="85"/>
      <c r="N22" s="85"/>
      <c r="O22" s="85"/>
    </row>
    <row r="23" spans="1:15" x14ac:dyDescent="0.25">
      <c r="A23" s="87"/>
      <c r="B23" s="88"/>
      <c r="C23" s="88"/>
      <c r="D23" s="88"/>
      <c r="E23" s="88"/>
      <c r="F23" s="88"/>
      <c r="G23" s="88"/>
      <c r="H23" s="89"/>
      <c r="I23" s="87"/>
      <c r="J23" s="88"/>
      <c r="K23" s="88"/>
      <c r="L23" s="88"/>
      <c r="M23" s="88"/>
      <c r="N23" s="88"/>
      <c r="O23" s="88"/>
    </row>
    <row r="24" spans="1:15" x14ac:dyDescent="0.25">
      <c r="A24" s="87"/>
      <c r="B24" s="88"/>
      <c r="C24" s="88"/>
      <c r="D24" s="88"/>
      <c r="E24" s="88"/>
      <c r="F24" s="88"/>
      <c r="G24" s="88"/>
      <c r="H24" s="89"/>
      <c r="I24" s="87"/>
      <c r="J24" s="88"/>
      <c r="K24" s="88"/>
      <c r="L24" s="88"/>
      <c r="M24" s="88"/>
      <c r="N24" s="88"/>
      <c r="O24" s="88"/>
    </row>
    <row r="25" spans="1:15" x14ac:dyDescent="0.25">
      <c r="A25" s="87"/>
      <c r="B25" s="88"/>
      <c r="C25" s="88"/>
      <c r="D25" s="88"/>
      <c r="E25" s="88"/>
      <c r="F25" s="88"/>
      <c r="G25" s="88"/>
      <c r="H25" s="89"/>
      <c r="I25" s="87"/>
      <c r="J25" s="88"/>
      <c r="K25" s="88"/>
      <c r="L25" s="88"/>
      <c r="M25" s="88"/>
      <c r="N25" s="88"/>
      <c r="O25" s="88"/>
    </row>
    <row r="26" spans="1:15" x14ac:dyDescent="0.25">
      <c r="A26" s="87"/>
      <c r="B26" s="88"/>
      <c r="C26" s="88"/>
      <c r="D26" s="88"/>
      <c r="E26" s="88"/>
      <c r="F26" s="88"/>
      <c r="G26" s="88"/>
      <c r="H26" s="89"/>
      <c r="I26" s="87"/>
      <c r="J26" s="88"/>
      <c r="K26" s="88"/>
      <c r="L26" s="88"/>
      <c r="M26" s="88"/>
      <c r="N26" s="88"/>
      <c r="O26" s="88"/>
    </row>
    <row r="27" spans="1:15" x14ac:dyDescent="0.25">
      <c r="A27" s="87"/>
      <c r="B27" s="88"/>
      <c r="C27" s="88"/>
      <c r="D27" s="88"/>
      <c r="E27" s="88"/>
      <c r="F27" s="88"/>
      <c r="G27" s="88"/>
      <c r="H27" s="89"/>
      <c r="I27" s="87"/>
      <c r="J27" s="88"/>
      <c r="K27" s="88"/>
      <c r="L27" s="88"/>
      <c r="M27" s="88"/>
      <c r="N27" s="88"/>
      <c r="O27" s="88"/>
    </row>
    <row r="28" spans="1:15" x14ac:dyDescent="0.25">
      <c r="A28" s="87"/>
      <c r="B28" s="88"/>
      <c r="C28" s="88"/>
      <c r="D28" s="88"/>
      <c r="E28" s="88"/>
      <c r="F28" s="88"/>
      <c r="G28" s="88"/>
      <c r="H28" s="89"/>
      <c r="I28" s="87"/>
      <c r="J28" s="88"/>
      <c r="K28" s="88"/>
      <c r="L28" s="88"/>
      <c r="M28" s="88"/>
      <c r="N28" s="88"/>
      <c r="O28" s="88"/>
    </row>
    <row r="29" spans="1:15" x14ac:dyDescent="0.25">
      <c r="A29" s="87"/>
      <c r="B29" s="88"/>
      <c r="C29" s="88"/>
      <c r="D29" s="88"/>
      <c r="E29" s="88"/>
      <c r="F29" s="88"/>
      <c r="G29" s="88"/>
      <c r="H29" s="89"/>
      <c r="I29" s="87"/>
      <c r="J29" s="88"/>
      <c r="K29" s="88"/>
      <c r="L29" s="88"/>
      <c r="M29" s="88"/>
      <c r="N29" s="88"/>
      <c r="O29" s="88"/>
    </row>
    <row r="30" spans="1:15" x14ac:dyDescent="0.25">
      <c r="A30" s="87"/>
      <c r="B30" s="88"/>
      <c r="C30" s="88"/>
      <c r="D30" s="88"/>
      <c r="E30" s="88"/>
      <c r="F30" s="88"/>
      <c r="G30" s="88"/>
      <c r="H30" s="89"/>
      <c r="I30" s="87"/>
      <c r="J30" s="88"/>
      <c r="K30" s="88"/>
      <c r="L30" s="88"/>
      <c r="M30" s="88"/>
      <c r="N30" s="88"/>
      <c r="O30" s="88"/>
    </row>
    <row r="31" spans="1:15" x14ac:dyDescent="0.25">
      <c r="A31" s="87"/>
      <c r="B31" s="88"/>
      <c r="C31" s="88"/>
      <c r="D31" s="88"/>
      <c r="E31" s="88"/>
      <c r="F31" s="88"/>
      <c r="G31" s="88"/>
      <c r="H31" s="89"/>
      <c r="I31" s="87"/>
      <c r="J31" s="88"/>
      <c r="K31" s="88"/>
      <c r="L31" s="88"/>
      <c r="M31" s="88"/>
      <c r="N31" s="88"/>
      <c r="O31" s="88"/>
    </row>
    <row r="32" spans="1:15" x14ac:dyDescent="0.25">
      <c r="A32" s="87"/>
      <c r="B32" s="88"/>
      <c r="C32" s="88"/>
      <c r="D32" s="88"/>
      <c r="E32" s="88"/>
      <c r="F32" s="88"/>
      <c r="G32" s="88"/>
      <c r="H32" s="89"/>
      <c r="I32" s="87"/>
      <c r="J32" s="88"/>
      <c r="K32" s="88"/>
      <c r="L32" s="88"/>
      <c r="M32" s="88"/>
      <c r="N32" s="88"/>
      <c r="O32" s="88"/>
    </row>
    <row r="33" spans="1:15" x14ac:dyDescent="0.25">
      <c r="A33" s="87"/>
      <c r="B33" s="88"/>
      <c r="C33" s="88"/>
      <c r="D33" s="88"/>
      <c r="E33" s="88"/>
      <c r="F33" s="88"/>
      <c r="G33" s="88"/>
      <c r="H33" s="89"/>
      <c r="I33" s="87"/>
      <c r="J33" s="88"/>
      <c r="K33" s="88"/>
      <c r="L33" s="88"/>
      <c r="M33" s="88"/>
      <c r="N33" s="88"/>
      <c r="O33" s="88"/>
    </row>
    <row r="34" spans="1:15" x14ac:dyDescent="0.25">
      <c r="A34" s="87"/>
      <c r="B34" s="88"/>
      <c r="C34" s="88"/>
      <c r="D34" s="88"/>
      <c r="E34" s="88"/>
      <c r="F34" s="88"/>
      <c r="G34" s="88"/>
      <c r="H34" s="89"/>
      <c r="I34" s="87"/>
      <c r="J34" s="88"/>
      <c r="K34" s="88"/>
      <c r="L34" s="88"/>
      <c r="M34" s="88"/>
      <c r="N34" s="88"/>
      <c r="O34" s="88"/>
    </row>
    <row r="35" spans="1:15" x14ac:dyDescent="0.25">
      <c r="A35" s="87"/>
      <c r="B35" s="88"/>
      <c r="C35" s="88"/>
      <c r="D35" s="88"/>
      <c r="E35" s="88"/>
      <c r="F35" s="88"/>
      <c r="G35" s="88"/>
      <c r="H35" s="89"/>
      <c r="I35" s="87"/>
      <c r="J35" s="88"/>
      <c r="K35" s="88"/>
      <c r="L35" s="88"/>
      <c r="M35" s="88"/>
      <c r="N35" s="88"/>
      <c r="O35" s="88"/>
    </row>
    <row r="36" spans="1:15" x14ac:dyDescent="0.25">
      <c r="A36" s="87"/>
      <c r="B36" s="88"/>
      <c r="C36" s="88"/>
      <c r="D36" s="88"/>
      <c r="E36" s="88"/>
      <c r="F36" s="88"/>
      <c r="G36" s="88"/>
      <c r="H36" s="89"/>
      <c r="I36" s="87"/>
      <c r="J36" s="88"/>
      <c r="K36" s="88"/>
      <c r="L36" s="88"/>
      <c r="M36" s="88"/>
      <c r="N36" s="88"/>
      <c r="O36" s="88"/>
    </row>
    <row r="37" spans="1:15" x14ac:dyDescent="0.25">
      <c r="A37" s="87"/>
      <c r="B37" s="88"/>
      <c r="C37" s="88"/>
      <c r="D37" s="88"/>
      <c r="E37" s="88"/>
      <c r="F37" s="88"/>
      <c r="G37" s="88"/>
      <c r="H37" s="89"/>
      <c r="I37" s="87"/>
      <c r="J37" s="88"/>
      <c r="K37" s="88"/>
      <c r="L37" s="88"/>
      <c r="M37" s="88"/>
      <c r="N37" s="88"/>
      <c r="O37" s="88"/>
    </row>
    <row r="38" spans="1:15" x14ac:dyDescent="0.25">
      <c r="A38" s="87"/>
      <c r="B38" s="88"/>
      <c r="C38" s="88"/>
      <c r="D38" s="88"/>
      <c r="E38" s="88"/>
      <c r="F38" s="88"/>
      <c r="G38" s="88"/>
      <c r="H38" s="89"/>
      <c r="I38" s="87"/>
      <c r="J38" s="88"/>
      <c r="K38" s="88"/>
      <c r="L38" s="88"/>
      <c r="M38" s="88"/>
      <c r="N38" s="88"/>
      <c r="O38" s="88"/>
    </row>
    <row r="39" spans="1:15" x14ac:dyDescent="0.25">
      <c r="A39" s="87"/>
      <c r="B39" s="88"/>
      <c r="C39" s="88"/>
      <c r="D39" s="88"/>
      <c r="E39" s="88"/>
      <c r="F39" s="88"/>
      <c r="G39" s="88"/>
      <c r="H39" s="89"/>
      <c r="I39" s="87"/>
      <c r="J39" s="88"/>
      <c r="K39" s="88"/>
      <c r="L39" s="88"/>
      <c r="M39" s="88"/>
      <c r="N39" s="88"/>
      <c r="O39" s="88"/>
    </row>
    <row r="40" spans="1:15" x14ac:dyDescent="0.25">
      <c r="A40" s="87"/>
      <c r="B40" s="88"/>
      <c r="C40" s="88"/>
      <c r="D40" s="88"/>
      <c r="E40" s="88"/>
      <c r="F40" s="88"/>
      <c r="G40" s="88"/>
      <c r="H40" s="89"/>
      <c r="I40" s="87"/>
      <c r="J40" s="88"/>
      <c r="K40" s="88"/>
      <c r="L40" s="88"/>
      <c r="M40" s="88"/>
      <c r="N40" s="88"/>
      <c r="O40" s="88"/>
    </row>
    <row r="41" spans="1:15" x14ac:dyDescent="0.25">
      <c r="A41" s="87"/>
      <c r="B41" s="88"/>
      <c r="C41" s="88"/>
      <c r="D41" s="88"/>
      <c r="E41" s="88"/>
      <c r="F41" s="88"/>
      <c r="G41" s="88"/>
      <c r="H41" s="89"/>
      <c r="I41" s="87"/>
      <c r="J41" s="88"/>
      <c r="K41" s="88"/>
      <c r="L41" s="88"/>
      <c r="M41" s="88"/>
      <c r="N41" s="88"/>
      <c r="O41" s="88"/>
    </row>
    <row r="42" spans="1:15" x14ac:dyDescent="0.25">
      <c r="A42" s="87"/>
      <c r="B42" s="88"/>
      <c r="C42" s="88"/>
      <c r="D42" s="88"/>
      <c r="E42" s="88"/>
      <c r="F42" s="88"/>
      <c r="G42" s="88"/>
      <c r="H42" s="89"/>
      <c r="I42" s="87"/>
      <c r="J42" s="88"/>
      <c r="K42" s="88"/>
      <c r="L42" s="88"/>
      <c r="M42" s="88"/>
      <c r="N42" s="88"/>
      <c r="O42" s="88"/>
    </row>
    <row r="43" spans="1:15" x14ac:dyDescent="0.25">
      <c r="A43" s="87"/>
      <c r="B43" s="88"/>
      <c r="C43" s="88"/>
      <c r="D43" s="88"/>
      <c r="E43" s="88"/>
      <c r="F43" s="88"/>
      <c r="G43" s="88"/>
      <c r="H43" s="89"/>
      <c r="I43" s="87"/>
      <c r="J43" s="88"/>
      <c r="K43" s="88"/>
      <c r="L43" s="88"/>
      <c r="M43" s="88"/>
      <c r="N43" s="88"/>
      <c r="O43" s="88"/>
    </row>
    <row r="44" spans="1:15" x14ac:dyDescent="0.25">
      <c r="A44" s="87"/>
      <c r="B44" s="88"/>
      <c r="C44" s="88"/>
      <c r="D44" s="88"/>
      <c r="E44" s="88"/>
      <c r="F44" s="88"/>
      <c r="G44" s="88"/>
      <c r="H44" s="89"/>
      <c r="I44" s="87"/>
      <c r="J44" s="88"/>
      <c r="K44" s="88"/>
      <c r="L44" s="88"/>
      <c r="M44" s="88"/>
      <c r="N44" s="88"/>
      <c r="O44" s="88"/>
    </row>
    <row r="45" spans="1:15" x14ac:dyDescent="0.25">
      <c r="A45" s="87"/>
      <c r="B45" s="88"/>
      <c r="C45" s="88"/>
      <c r="D45" s="88"/>
      <c r="E45" s="88"/>
      <c r="F45" s="88"/>
      <c r="G45" s="88"/>
      <c r="H45" s="89"/>
      <c r="I45" s="87"/>
      <c r="J45" s="88"/>
      <c r="K45" s="88"/>
      <c r="L45" s="88"/>
      <c r="M45" s="88"/>
      <c r="N45" s="88"/>
      <c r="O45" s="88"/>
    </row>
    <row r="46" spans="1:15" x14ac:dyDescent="0.25">
      <c r="A46" s="87"/>
      <c r="B46" s="88"/>
      <c r="C46" s="88"/>
      <c r="D46" s="88"/>
      <c r="E46" s="88"/>
      <c r="F46" s="88"/>
      <c r="G46" s="88"/>
      <c r="H46" s="89"/>
      <c r="I46" s="87"/>
      <c r="J46" s="88"/>
      <c r="K46" s="88"/>
      <c r="L46" s="88"/>
      <c r="M46" s="88"/>
      <c r="N46" s="88"/>
      <c r="O46" s="88"/>
    </row>
    <row r="47" spans="1:15" x14ac:dyDescent="0.25">
      <c r="A47" s="87"/>
      <c r="B47" s="88"/>
      <c r="C47" s="88"/>
      <c r="D47" s="88"/>
      <c r="E47" s="88"/>
      <c r="F47" s="88"/>
      <c r="G47" s="88"/>
      <c r="H47" s="89"/>
      <c r="I47" s="87"/>
      <c r="J47" s="88"/>
      <c r="K47" s="88"/>
      <c r="L47" s="88"/>
      <c r="M47" s="88"/>
      <c r="N47" s="88"/>
      <c r="O47" s="88"/>
    </row>
    <row r="48" spans="1:15" x14ac:dyDescent="0.25">
      <c r="A48" s="87"/>
      <c r="B48" s="88"/>
      <c r="C48" s="88"/>
      <c r="D48" s="88"/>
      <c r="E48" s="88"/>
      <c r="F48" s="88"/>
      <c r="G48" s="88"/>
      <c r="H48" s="89"/>
      <c r="I48" s="87"/>
      <c r="J48" s="88"/>
      <c r="K48" s="88"/>
      <c r="L48" s="88"/>
      <c r="M48" s="88"/>
      <c r="N48" s="88"/>
      <c r="O48" s="88"/>
    </row>
    <row r="49" spans="1:15" x14ac:dyDescent="0.25">
      <c r="A49" s="87"/>
      <c r="B49" s="88"/>
      <c r="C49" s="88"/>
      <c r="D49" s="88"/>
      <c r="E49" s="88"/>
      <c r="F49" s="88"/>
      <c r="G49" s="88"/>
      <c r="H49" s="89"/>
      <c r="I49" s="87"/>
      <c r="J49" s="88"/>
      <c r="K49" s="88"/>
      <c r="L49" s="88"/>
      <c r="M49" s="88"/>
      <c r="N49" s="88"/>
      <c r="O49" s="88"/>
    </row>
    <row r="50" spans="1:15" x14ac:dyDescent="0.25">
      <c r="A50" s="87"/>
      <c r="B50" s="88"/>
      <c r="C50" s="88"/>
      <c r="D50" s="88"/>
      <c r="E50" s="88"/>
      <c r="F50" s="88"/>
      <c r="G50" s="88"/>
      <c r="H50" s="89"/>
      <c r="I50" s="87"/>
      <c r="J50" s="88"/>
      <c r="K50" s="88"/>
      <c r="L50" s="88"/>
      <c r="M50" s="88"/>
      <c r="N50" s="88"/>
      <c r="O50" s="88"/>
    </row>
    <row r="51" spans="1:15" x14ac:dyDescent="0.25">
      <c r="A51" s="87"/>
      <c r="B51" s="88"/>
      <c r="C51" s="88"/>
      <c r="D51" s="88"/>
      <c r="E51" s="88"/>
      <c r="F51" s="88"/>
      <c r="G51" s="88"/>
      <c r="H51" s="89"/>
      <c r="I51" s="87"/>
      <c r="J51" s="88"/>
      <c r="K51" s="88"/>
      <c r="L51" s="88"/>
      <c r="M51" s="88"/>
      <c r="N51" s="88"/>
      <c r="O51" s="88"/>
    </row>
    <row r="52" spans="1:15" x14ac:dyDescent="0.25">
      <c r="A52" s="87"/>
      <c r="B52" s="88"/>
      <c r="C52" s="88"/>
      <c r="D52" s="88"/>
      <c r="E52" s="88"/>
      <c r="F52" s="88"/>
      <c r="G52" s="88"/>
      <c r="H52" s="89"/>
      <c r="I52" s="87"/>
      <c r="J52" s="88"/>
      <c r="K52" s="88"/>
      <c r="L52" s="88"/>
      <c r="M52" s="88"/>
      <c r="N52" s="88"/>
      <c r="O52" s="88"/>
    </row>
    <row r="53" spans="1:15" x14ac:dyDescent="0.25">
      <c r="A53" s="87"/>
      <c r="B53" s="88"/>
      <c r="C53" s="88"/>
      <c r="D53" s="88"/>
      <c r="E53" s="88"/>
      <c r="F53" s="88"/>
      <c r="G53" s="88"/>
      <c r="H53" s="89"/>
      <c r="I53" s="87"/>
      <c r="J53" s="88"/>
      <c r="K53" s="88"/>
      <c r="L53" s="88"/>
      <c r="M53" s="88"/>
      <c r="N53" s="88"/>
      <c r="O53" s="88"/>
    </row>
    <row r="54" spans="1:15" x14ac:dyDescent="0.25">
      <c r="A54" s="87"/>
      <c r="B54" s="88"/>
      <c r="C54" s="88"/>
      <c r="D54" s="88"/>
      <c r="E54" s="88"/>
      <c r="F54" s="88"/>
      <c r="G54" s="88"/>
      <c r="H54" s="89"/>
      <c r="I54" s="87"/>
      <c r="J54" s="88"/>
      <c r="K54" s="88"/>
      <c r="L54" s="88"/>
      <c r="M54" s="88"/>
      <c r="N54" s="88"/>
      <c r="O54" s="88"/>
    </row>
    <row r="55" spans="1:15" x14ac:dyDescent="0.25">
      <c r="A55" s="87"/>
      <c r="B55" s="88"/>
      <c r="C55" s="88"/>
      <c r="D55" s="88"/>
      <c r="E55" s="88"/>
      <c r="F55" s="88"/>
      <c r="G55" s="88"/>
      <c r="H55" s="89"/>
      <c r="I55" s="87"/>
      <c r="J55" s="88"/>
      <c r="K55" s="88"/>
      <c r="L55" s="88"/>
      <c r="M55" s="88"/>
      <c r="N55" s="88"/>
      <c r="O55" s="88"/>
    </row>
    <row r="56" spans="1:15" x14ac:dyDescent="0.25">
      <c r="A56" s="87"/>
      <c r="B56" s="88"/>
      <c r="C56" s="88"/>
      <c r="D56" s="88"/>
      <c r="E56" s="88"/>
      <c r="F56" s="88"/>
      <c r="G56" s="88"/>
      <c r="H56" s="89"/>
      <c r="I56" s="87"/>
      <c r="J56" s="88"/>
      <c r="K56" s="88"/>
      <c r="L56" s="88"/>
      <c r="M56" s="88"/>
      <c r="N56" s="88"/>
      <c r="O56" s="88"/>
    </row>
    <row r="57" spans="1:15" x14ac:dyDescent="0.25">
      <c r="A57" s="87"/>
      <c r="B57" s="88"/>
      <c r="C57" s="88"/>
      <c r="D57" s="88"/>
      <c r="E57" s="88"/>
      <c r="F57" s="88"/>
      <c r="G57" s="88"/>
      <c r="H57" s="89"/>
      <c r="I57" s="87"/>
      <c r="J57" s="88"/>
      <c r="K57" s="88"/>
      <c r="L57" s="88"/>
      <c r="M57" s="88"/>
      <c r="N57" s="88"/>
      <c r="O57" s="88"/>
    </row>
    <row r="58" spans="1:15" x14ac:dyDescent="0.25">
      <c r="A58" s="87"/>
      <c r="B58" s="88"/>
      <c r="C58" s="88"/>
      <c r="D58" s="88"/>
      <c r="E58" s="88"/>
      <c r="F58" s="88"/>
      <c r="G58" s="88"/>
      <c r="H58" s="89"/>
      <c r="I58" s="87"/>
      <c r="J58" s="88"/>
      <c r="K58" s="88"/>
      <c r="L58" s="88"/>
      <c r="M58" s="88"/>
      <c r="N58" s="88"/>
      <c r="O58" s="88"/>
    </row>
    <row r="59" spans="1:15" x14ac:dyDescent="0.25">
      <c r="A59" s="87"/>
      <c r="B59" s="88"/>
      <c r="C59" s="88"/>
      <c r="D59" s="88"/>
      <c r="E59" s="88"/>
      <c r="F59" s="88"/>
      <c r="G59" s="88"/>
      <c r="H59" s="89"/>
      <c r="I59" s="87"/>
      <c r="J59" s="88"/>
      <c r="K59" s="88"/>
      <c r="L59" s="88"/>
      <c r="M59" s="88"/>
      <c r="N59" s="88"/>
      <c r="O59" s="88"/>
    </row>
    <row r="60" spans="1:15" x14ac:dyDescent="0.25">
      <c r="A60" s="90"/>
      <c r="B60" s="91"/>
      <c r="C60" s="91"/>
      <c r="D60" s="91"/>
      <c r="E60" s="91"/>
      <c r="F60" s="91"/>
      <c r="G60" s="91"/>
      <c r="H60" s="92"/>
      <c r="I60" s="90"/>
      <c r="J60" s="91"/>
      <c r="K60" s="91"/>
      <c r="L60" s="91"/>
      <c r="M60" s="91"/>
      <c r="N60" s="91"/>
      <c r="O60" s="91"/>
    </row>
  </sheetData>
  <sheetProtection algorithmName="SHA-512" hashValue="ujSzNvcinwJn9teVozjujxXIxX83S2VFs8tOOG4v9kdmOFm1AyJ3G8ZZf1dyaDoBr9iwEKtrTkxiGWQzGYTOCA==" saltValue="WDmHUaDtSZihcg/6qutLUA==" spinCount="100000" sheet="1" scenarios="1"/>
  <protectedRanges>
    <protectedRange algorithmName="SHA-512" hashValue="HEumj/IYeytq63JLBvRX49CR3RX3/8bNFvS9+OdcTMyo9YHqhnqFSop70G/rP79mV/+vx7XTL33uE0UuVSWHoQ==" saltValue="bOHRk3jMyIJV/W6gTdtXJA==" spinCount="100000" sqref="A22:O60" name="AC1"/>
  </protectedRanges>
  <mergeCells count="13">
    <mergeCell ref="A1:H1"/>
    <mergeCell ref="A2:H18"/>
    <mergeCell ref="A21:H21"/>
    <mergeCell ref="A22:H60"/>
    <mergeCell ref="J1:K1"/>
    <mergeCell ref="I21:O21"/>
    <mergeCell ref="I22:O60"/>
    <mergeCell ref="K15:N15"/>
    <mergeCell ref="K14:N14"/>
    <mergeCell ref="K16:N16"/>
    <mergeCell ref="J13:N13"/>
    <mergeCell ref="M1:N1"/>
    <mergeCell ref="M2:N5"/>
  </mergeCells>
  <phoneticPr fontId="12" type="noConversion"/>
  <conditionalFormatting sqref="M2:N5 K2:K12 O13:O16">
    <cfRule type="cellIs" dxfId="30" priority="1" operator="equal">
      <formula>ErrorText</formula>
    </cfRule>
  </conditionalFormatting>
  <pageMargins left="0.7" right="0.7" top="0.75" bottom="0.75" header="0.3" footer="0.3"/>
  <pageSetup paperSize="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E25D1-CC5F-4AD3-BE3C-077B5D4D7CD5}">
  <sheetPr codeName="Sheet2"/>
  <dimension ref="A1:O105"/>
  <sheetViews>
    <sheetView zoomScale="85" zoomScaleNormal="85" workbookViewId="0">
      <selection activeCell="C23" sqref="C23"/>
    </sheetView>
  </sheetViews>
  <sheetFormatPr defaultRowHeight="13.8" x14ac:dyDescent="0.25"/>
  <cols>
    <col min="1" max="1" width="18.44140625" customWidth="1"/>
    <col min="2" max="2" width="25.88671875" customWidth="1"/>
    <col min="3" max="3" width="30.33203125" customWidth="1"/>
    <col min="4" max="4" width="36.109375" customWidth="1"/>
    <col min="5" max="5" width="31.33203125" customWidth="1"/>
    <col min="6" max="6" width="24.77734375" customWidth="1"/>
    <col min="7" max="7" width="30.44140625" customWidth="1"/>
    <col min="8" max="8" width="50.6640625" customWidth="1"/>
    <col min="9" max="9" width="21.6640625" customWidth="1"/>
    <col min="10" max="10" width="29.44140625" customWidth="1"/>
    <col min="11" max="11" width="17.33203125" customWidth="1"/>
    <col min="12" max="12" width="64" customWidth="1"/>
    <col min="15" max="15" width="16.33203125" hidden="1" customWidth="1"/>
  </cols>
  <sheetData>
    <row r="1" spans="1:15" x14ac:dyDescent="0.25">
      <c r="A1" s="14" t="s">
        <v>72</v>
      </c>
      <c r="B1" s="49" t="str">
        <f ca="1">IF(SUM(COUNTIF(INDIRECT({"$E$2","$I$15","$I$40","$I$55","$I$64","$I$72","$J$94"}), "="&amp;IncompleteText))&gt;0, IncompleteText, IF(SUM(COUNTIF(INDIRECT({"$E$2","$I$15","$I$40","$I$55","$I$64","$I$72","$J$94"}), "="&amp;ErrorText))&gt;0, ErrorText, OKText))</f>
        <v>BLANK</v>
      </c>
    </row>
    <row r="2" spans="1:15" x14ac:dyDescent="0.25">
      <c r="A2" s="105" t="s">
        <v>73</v>
      </c>
      <c r="B2" s="105"/>
      <c r="C2" s="105"/>
      <c r="D2" s="105"/>
      <c r="E2" s="49" t="str">
        <f>IF(COUNTBLANK(C3:C13)&gt;0, IncompleteText, OKText)</f>
        <v>BLANK</v>
      </c>
    </row>
    <row r="3" spans="1:15" x14ac:dyDescent="0.25">
      <c r="A3" s="106" t="s">
        <v>74</v>
      </c>
      <c r="B3" s="106"/>
      <c r="C3" s="108"/>
      <c r="D3" s="108"/>
    </row>
    <row r="4" spans="1:15" x14ac:dyDescent="0.25">
      <c r="A4" s="106" t="s">
        <v>75</v>
      </c>
      <c r="B4" s="106"/>
      <c r="C4" s="108"/>
      <c r="D4" s="108"/>
    </row>
    <row r="5" spans="1:15" x14ac:dyDescent="0.25">
      <c r="A5" s="106" t="s">
        <v>76</v>
      </c>
      <c r="B5" s="106"/>
      <c r="C5" s="3"/>
      <c r="D5" s="14" t="s">
        <v>4</v>
      </c>
    </row>
    <row r="6" spans="1:15" x14ac:dyDescent="0.25">
      <c r="A6" s="106" t="s">
        <v>77</v>
      </c>
      <c r="B6" s="106"/>
      <c r="C6" s="3"/>
      <c r="D6" s="14" t="s">
        <v>0</v>
      </c>
    </row>
    <row r="7" spans="1:15" x14ac:dyDescent="0.25">
      <c r="A7" s="106" t="s">
        <v>78</v>
      </c>
      <c r="B7" s="106"/>
      <c r="C7" s="3"/>
      <c r="D7" s="14" t="s">
        <v>0</v>
      </c>
    </row>
    <row r="8" spans="1:15" x14ac:dyDescent="0.25">
      <c r="A8" s="106" t="s">
        <v>79</v>
      </c>
      <c r="B8" s="106"/>
      <c r="C8" s="3"/>
      <c r="D8" s="14" t="s">
        <v>0</v>
      </c>
    </row>
    <row r="9" spans="1:15" x14ac:dyDescent="0.25">
      <c r="A9" s="106" t="s">
        <v>80</v>
      </c>
      <c r="B9" s="106"/>
      <c r="C9" s="3"/>
      <c r="D9" s="14" t="s">
        <v>2</v>
      </c>
    </row>
    <row r="10" spans="1:15" x14ac:dyDescent="0.25">
      <c r="A10" s="106" t="s">
        <v>81</v>
      </c>
      <c r="B10" s="106"/>
      <c r="C10" s="3"/>
      <c r="D10" s="14" t="s">
        <v>2</v>
      </c>
    </row>
    <row r="11" spans="1:15" x14ac:dyDescent="0.25">
      <c r="A11" s="106" t="s">
        <v>82</v>
      </c>
      <c r="B11" s="106"/>
      <c r="C11" s="3"/>
      <c r="D11" s="14" t="s">
        <v>5</v>
      </c>
    </row>
    <row r="12" spans="1:15" x14ac:dyDescent="0.25">
      <c r="A12" s="106" t="s">
        <v>83</v>
      </c>
      <c r="B12" s="106"/>
      <c r="C12" s="108"/>
      <c r="D12" s="108"/>
    </row>
    <row r="13" spans="1:15" x14ac:dyDescent="0.25">
      <c r="A13" s="106" t="s">
        <v>84</v>
      </c>
      <c r="B13" s="109"/>
      <c r="C13" s="108"/>
      <c r="D13" s="108"/>
    </row>
    <row r="15" spans="1:15" x14ac:dyDescent="0.25">
      <c r="A15" s="105" t="s">
        <v>85</v>
      </c>
      <c r="B15" s="83"/>
      <c r="C15" s="83"/>
      <c r="D15" s="83"/>
      <c r="E15" s="83"/>
      <c r="F15" s="83"/>
      <c r="G15" s="83"/>
      <c r="H15" s="83"/>
      <c r="I15" s="49" t="str">
        <f>IF(COUNTIF(I17:I38, "="&amp;IncompleteText), IncompleteText, IF(COUNTIF(I17:I38, "="&amp;ErrorText), ErrorText, OKText))</f>
        <v>BLANK</v>
      </c>
      <c r="J15" s="37"/>
      <c r="K15" s="107" t="s">
        <v>94</v>
      </c>
      <c r="L15" s="107"/>
      <c r="O15" t="s">
        <v>96</v>
      </c>
    </row>
    <row r="16" spans="1:15" ht="14.25" customHeight="1" x14ac:dyDescent="0.25">
      <c r="A16" s="14" t="s">
        <v>86</v>
      </c>
      <c r="B16" s="14" t="s">
        <v>87</v>
      </c>
      <c r="C16" s="36" t="s">
        <v>88</v>
      </c>
      <c r="D16" s="14" t="s">
        <v>445</v>
      </c>
      <c r="E16" s="14" t="s">
        <v>447</v>
      </c>
      <c r="F16" s="14" t="s">
        <v>89</v>
      </c>
      <c r="G16" s="15" t="s">
        <v>90</v>
      </c>
      <c r="H16" s="15" t="s">
        <v>95</v>
      </c>
      <c r="I16" s="14" t="s">
        <v>92</v>
      </c>
      <c r="J16" s="15" t="s">
        <v>93</v>
      </c>
      <c r="K16" s="99" t="s">
        <v>488</v>
      </c>
      <c r="L16" s="100"/>
      <c r="M16" t="s">
        <v>6</v>
      </c>
      <c r="O16" t="s">
        <v>97</v>
      </c>
    </row>
    <row r="17" spans="1:15" x14ac:dyDescent="0.25">
      <c r="A17" s="8"/>
      <c r="B17" s="3"/>
      <c r="C17" s="5"/>
      <c r="D17" s="6"/>
      <c r="E17" s="5"/>
      <c r="F17" s="5"/>
      <c r="G17" s="5"/>
      <c r="H17" s="5"/>
      <c r="I17" s="49" t="str">
        <f>IF(COUNTBLANK(A17:H17)=8,IncompleteText,IF(AND(COUNTBLANK(A17:H17)=0, F17&gt;=85),IF(AND(H17="其他驱动系统",COUNTBLANK(J17)=1),ErrorText,OKText),ErrorText))</f>
        <v>BLANK</v>
      </c>
      <c r="J17" s="7"/>
      <c r="K17" s="101"/>
      <c r="L17" s="102"/>
      <c r="O17" t="s">
        <v>98</v>
      </c>
    </row>
    <row r="18" spans="1:15" x14ac:dyDescent="0.25">
      <c r="A18" s="5"/>
      <c r="B18" s="3"/>
      <c r="C18" s="5"/>
      <c r="D18" s="5"/>
      <c r="E18" s="5"/>
      <c r="F18" s="5"/>
      <c r="G18" s="5"/>
      <c r="H18" s="5"/>
      <c r="I18" s="49" t="str">
        <f t="shared" ref="I18:I25" si="0">IF(COUNTBLANK(A18:H18)=8,"",IF(AND(COUNTBLANK(A18:H18)=0, F18&gt;=85),IF(AND(H18="其他驱动系统",COUNTBLANK(J18)=1),ErrorText,OKText),ErrorText))</f>
        <v/>
      </c>
      <c r="J18" s="7"/>
      <c r="K18" s="101"/>
      <c r="L18" s="102"/>
      <c r="O18" t="s">
        <v>99</v>
      </c>
    </row>
    <row r="19" spans="1:15" x14ac:dyDescent="0.25">
      <c r="A19" s="5"/>
      <c r="B19" s="3"/>
      <c r="C19" s="5"/>
      <c r="D19" s="5"/>
      <c r="E19" s="5"/>
      <c r="F19" s="5"/>
      <c r="G19" s="5"/>
      <c r="H19" s="5"/>
      <c r="I19" s="49" t="str">
        <f t="shared" si="0"/>
        <v/>
      </c>
      <c r="J19" s="7"/>
      <c r="K19" s="101"/>
      <c r="L19" s="102"/>
      <c r="O19" t="s">
        <v>100</v>
      </c>
    </row>
    <row r="20" spans="1:15" x14ac:dyDescent="0.25">
      <c r="A20" s="5"/>
      <c r="B20" s="3"/>
      <c r="C20" s="5"/>
      <c r="D20" s="5"/>
      <c r="E20" s="5"/>
      <c r="F20" s="5"/>
      <c r="G20" s="5"/>
      <c r="H20" s="5"/>
      <c r="I20" s="49" t="str">
        <f t="shared" si="0"/>
        <v/>
      </c>
      <c r="J20" s="7"/>
      <c r="K20" s="101"/>
      <c r="L20" s="102"/>
      <c r="O20" t="s">
        <v>101</v>
      </c>
    </row>
    <row r="21" spans="1:15" x14ac:dyDescent="0.25">
      <c r="A21" s="5"/>
      <c r="B21" s="3"/>
      <c r="C21" s="5"/>
      <c r="D21" s="5"/>
      <c r="E21" s="5"/>
      <c r="F21" s="5"/>
      <c r="G21" s="5"/>
      <c r="H21" s="5"/>
      <c r="I21" s="49" t="str">
        <f t="shared" si="0"/>
        <v/>
      </c>
      <c r="J21" s="7"/>
      <c r="K21" s="101"/>
      <c r="L21" s="102"/>
      <c r="O21" t="s">
        <v>102</v>
      </c>
    </row>
    <row r="22" spans="1:15" x14ac:dyDescent="0.25">
      <c r="A22" s="5"/>
      <c r="B22" s="3"/>
      <c r="C22" s="5"/>
      <c r="D22" s="5"/>
      <c r="E22" s="5"/>
      <c r="F22" s="5"/>
      <c r="G22" s="5"/>
      <c r="H22" s="5"/>
      <c r="I22" s="49" t="str">
        <f t="shared" si="0"/>
        <v/>
      </c>
      <c r="J22" s="7"/>
      <c r="K22" s="101"/>
      <c r="L22" s="102"/>
      <c r="O22" t="s">
        <v>103</v>
      </c>
    </row>
    <row r="23" spans="1:15" x14ac:dyDescent="0.25">
      <c r="A23" s="5"/>
      <c r="B23" s="3"/>
      <c r="C23" s="5"/>
      <c r="D23" s="5"/>
      <c r="E23" s="5"/>
      <c r="F23" s="5"/>
      <c r="G23" s="5"/>
      <c r="H23" s="5"/>
      <c r="I23" s="49" t="str">
        <f t="shared" si="0"/>
        <v/>
      </c>
      <c r="J23" s="7"/>
      <c r="K23" s="101"/>
      <c r="L23" s="102"/>
      <c r="O23" t="s">
        <v>104</v>
      </c>
    </row>
    <row r="24" spans="1:15" x14ac:dyDescent="0.25">
      <c r="A24" s="5"/>
      <c r="B24" s="3"/>
      <c r="C24" s="5"/>
      <c r="D24" s="5"/>
      <c r="E24" s="5"/>
      <c r="F24" s="5"/>
      <c r="G24" s="5"/>
      <c r="H24" s="5"/>
      <c r="I24" s="49" t="str">
        <f t="shared" si="0"/>
        <v/>
      </c>
      <c r="J24" s="7"/>
      <c r="K24" s="101"/>
      <c r="L24" s="102"/>
      <c r="O24" t="s">
        <v>105</v>
      </c>
    </row>
    <row r="25" spans="1:15" x14ac:dyDescent="0.25">
      <c r="A25" s="5"/>
      <c r="B25" s="3"/>
      <c r="C25" s="5"/>
      <c r="D25" s="5"/>
      <c r="E25" s="5"/>
      <c r="F25" s="5"/>
      <c r="G25" s="5"/>
      <c r="H25" s="5"/>
      <c r="I25" s="49" t="str">
        <f t="shared" si="0"/>
        <v/>
      </c>
      <c r="J25" s="7"/>
      <c r="K25" s="101"/>
      <c r="L25" s="102"/>
      <c r="O25" t="s">
        <v>106</v>
      </c>
    </row>
    <row r="26" spans="1:15" x14ac:dyDescent="0.25">
      <c r="A26" s="5"/>
      <c r="B26" s="3"/>
      <c r="C26" s="5"/>
      <c r="D26" s="5"/>
      <c r="E26" s="5"/>
      <c r="F26" s="5"/>
      <c r="G26" s="5"/>
      <c r="H26" s="5"/>
      <c r="I26" s="49" t="str">
        <f t="shared" ref="I26:I38" si="1">IF(COUNTBLANK(A26:H26)=8,"",IF(AND(COUNTBLANK(A26:H26)=0, F26&gt;=85),IF(AND(H26="其他驱动系统",COUNTBLANK(J26)=1),ErrorText,OKText),ErrorText))</f>
        <v/>
      </c>
      <c r="J26" s="7"/>
      <c r="K26" s="101"/>
      <c r="L26" s="102"/>
      <c r="O26" t="s">
        <v>108</v>
      </c>
    </row>
    <row r="27" spans="1:15" x14ac:dyDescent="0.25">
      <c r="A27" s="5"/>
      <c r="B27" s="3"/>
      <c r="C27" s="5"/>
      <c r="D27" s="6"/>
      <c r="E27" s="5"/>
      <c r="F27" s="5"/>
      <c r="G27" s="5"/>
      <c r="H27" s="5"/>
      <c r="I27" s="49" t="str">
        <f t="shared" si="1"/>
        <v/>
      </c>
      <c r="J27" s="7"/>
      <c r="K27" s="101"/>
      <c r="L27" s="102"/>
      <c r="O27" t="s">
        <v>107</v>
      </c>
    </row>
    <row r="28" spans="1:15" x14ac:dyDescent="0.25">
      <c r="A28" s="5"/>
      <c r="B28" s="3"/>
      <c r="C28" s="5"/>
      <c r="D28" s="5"/>
      <c r="E28" s="5"/>
      <c r="F28" s="5"/>
      <c r="G28" s="5"/>
      <c r="H28" s="5"/>
      <c r="I28" s="49" t="str">
        <f t="shared" si="1"/>
        <v/>
      </c>
      <c r="J28" s="7"/>
      <c r="K28" s="101"/>
      <c r="L28" s="102"/>
      <c r="O28" t="s">
        <v>109</v>
      </c>
    </row>
    <row r="29" spans="1:15" x14ac:dyDescent="0.25">
      <c r="A29" s="5"/>
      <c r="B29" s="3"/>
      <c r="C29" s="5"/>
      <c r="D29" s="5"/>
      <c r="E29" s="5"/>
      <c r="F29" s="5"/>
      <c r="G29" s="5"/>
      <c r="H29" s="5"/>
      <c r="I29" s="49" t="str">
        <f t="shared" si="1"/>
        <v/>
      </c>
      <c r="J29" s="7"/>
      <c r="K29" s="101"/>
      <c r="L29" s="102"/>
      <c r="O29" t="s">
        <v>110</v>
      </c>
    </row>
    <row r="30" spans="1:15" x14ac:dyDescent="0.25">
      <c r="A30" s="5"/>
      <c r="B30" s="3"/>
      <c r="C30" s="5"/>
      <c r="D30" s="5"/>
      <c r="E30" s="5"/>
      <c r="F30" s="5"/>
      <c r="G30" s="5"/>
      <c r="H30" s="5"/>
      <c r="I30" s="49" t="str">
        <f t="shared" si="1"/>
        <v/>
      </c>
      <c r="J30" s="7"/>
      <c r="K30" s="101"/>
      <c r="L30" s="102"/>
      <c r="O30" t="s">
        <v>111</v>
      </c>
    </row>
    <row r="31" spans="1:15" x14ac:dyDescent="0.25">
      <c r="A31" s="5"/>
      <c r="B31" s="3"/>
      <c r="C31" s="5"/>
      <c r="D31" s="5"/>
      <c r="E31" s="5"/>
      <c r="F31" s="5"/>
      <c r="G31" s="5"/>
      <c r="H31" s="5"/>
      <c r="I31" s="49" t="str">
        <f t="shared" si="1"/>
        <v/>
      </c>
      <c r="J31" s="7"/>
      <c r="K31" s="101"/>
      <c r="L31" s="102"/>
      <c r="O31" t="s">
        <v>112</v>
      </c>
    </row>
    <row r="32" spans="1:15" x14ac:dyDescent="0.25">
      <c r="A32" s="5"/>
      <c r="B32" s="3"/>
      <c r="C32" s="5"/>
      <c r="D32" s="5"/>
      <c r="E32" s="5"/>
      <c r="F32" s="5"/>
      <c r="G32" s="5"/>
      <c r="H32" s="5"/>
      <c r="I32" s="49" t="str">
        <f t="shared" si="1"/>
        <v/>
      </c>
      <c r="J32" s="7"/>
      <c r="K32" s="101"/>
      <c r="L32" s="102"/>
      <c r="O32" t="s">
        <v>113</v>
      </c>
    </row>
    <row r="33" spans="1:15" x14ac:dyDescent="0.25">
      <c r="A33" s="5"/>
      <c r="B33" s="3"/>
      <c r="C33" s="5"/>
      <c r="D33" s="5"/>
      <c r="E33" s="5"/>
      <c r="F33" s="5"/>
      <c r="G33" s="5"/>
      <c r="H33" s="5"/>
      <c r="I33" s="49" t="str">
        <f t="shared" si="1"/>
        <v/>
      </c>
      <c r="J33" s="7"/>
      <c r="K33" s="101"/>
      <c r="L33" s="102"/>
      <c r="O33" t="s">
        <v>114</v>
      </c>
    </row>
    <row r="34" spans="1:15" x14ac:dyDescent="0.25">
      <c r="A34" s="5"/>
      <c r="B34" s="3"/>
      <c r="C34" s="5"/>
      <c r="D34" s="5"/>
      <c r="E34" s="5"/>
      <c r="F34" s="5"/>
      <c r="G34" s="5"/>
      <c r="H34" s="5"/>
      <c r="I34" s="49" t="str">
        <f t="shared" si="1"/>
        <v/>
      </c>
      <c r="J34" s="7"/>
      <c r="K34" s="101"/>
      <c r="L34" s="102"/>
      <c r="O34" t="s">
        <v>115</v>
      </c>
    </row>
    <row r="35" spans="1:15" x14ac:dyDescent="0.25">
      <c r="A35" s="5"/>
      <c r="B35" s="3"/>
      <c r="C35" s="5"/>
      <c r="D35" s="5"/>
      <c r="E35" s="5"/>
      <c r="F35" s="5"/>
      <c r="G35" s="5"/>
      <c r="H35" s="5"/>
      <c r="I35" s="49" t="str">
        <f t="shared" si="1"/>
        <v/>
      </c>
      <c r="J35" s="7"/>
      <c r="K35" s="101"/>
      <c r="L35" s="102"/>
    </row>
    <row r="36" spans="1:15" x14ac:dyDescent="0.25">
      <c r="A36" s="5"/>
      <c r="B36" s="3"/>
      <c r="C36" s="5"/>
      <c r="D36" s="5"/>
      <c r="E36" s="5"/>
      <c r="F36" s="5"/>
      <c r="G36" s="5"/>
      <c r="H36" s="5"/>
      <c r="I36" s="49" t="str">
        <f t="shared" si="1"/>
        <v/>
      </c>
      <c r="J36" s="7"/>
      <c r="K36" s="101"/>
      <c r="L36" s="102"/>
    </row>
    <row r="37" spans="1:15" x14ac:dyDescent="0.25">
      <c r="A37" s="5"/>
      <c r="B37" s="3"/>
      <c r="C37" s="5"/>
      <c r="D37" s="5"/>
      <c r="E37" s="5"/>
      <c r="F37" s="5"/>
      <c r="G37" s="5"/>
      <c r="H37" s="5"/>
      <c r="I37" s="49" t="str">
        <f t="shared" si="1"/>
        <v/>
      </c>
      <c r="J37" s="7"/>
      <c r="K37" s="101"/>
      <c r="L37" s="102"/>
    </row>
    <row r="38" spans="1:15" x14ac:dyDescent="0.25">
      <c r="A38" s="5"/>
      <c r="B38" s="3"/>
      <c r="C38" s="5"/>
      <c r="D38" s="5"/>
      <c r="E38" s="5"/>
      <c r="F38" s="5"/>
      <c r="G38" s="5"/>
      <c r="H38" s="5"/>
      <c r="I38" s="49" t="str">
        <f t="shared" si="1"/>
        <v/>
      </c>
      <c r="J38" s="7"/>
      <c r="K38" s="103"/>
      <c r="L38" s="104"/>
    </row>
    <row r="40" spans="1:15" x14ac:dyDescent="0.25">
      <c r="A40" s="105" t="s">
        <v>117</v>
      </c>
      <c r="B40" s="105"/>
      <c r="C40" s="105"/>
      <c r="D40" s="105"/>
      <c r="E40" s="105"/>
      <c r="F40" s="105"/>
      <c r="G40" s="105"/>
      <c r="H40" s="105"/>
      <c r="I40" s="49" t="str">
        <f>IF(COUNTIF(I42:I53, "="&amp;IncompleteText), IncompleteText, IF(COUNTIF(I42:I53, "="&amp;ErrorText), ErrorText, OKText))</f>
        <v>BLANK</v>
      </c>
      <c r="J40" s="82" t="s">
        <v>94</v>
      </c>
      <c r="K40" s="83"/>
      <c r="L40" s="83"/>
    </row>
    <row r="41" spans="1:15" x14ac:dyDescent="0.25">
      <c r="A41" s="14" t="s">
        <v>86</v>
      </c>
      <c r="B41" s="14" t="s">
        <v>87</v>
      </c>
      <c r="C41" s="14" t="s">
        <v>446</v>
      </c>
      <c r="D41" s="14" t="s">
        <v>447</v>
      </c>
      <c r="E41" s="14" t="s">
        <v>116</v>
      </c>
      <c r="F41" s="14" t="s">
        <v>89</v>
      </c>
      <c r="G41" s="15" t="str">
        <f>G16</f>
        <v>说明书链接 Datasheet Hyperlink</v>
      </c>
      <c r="H41" s="15" t="str">
        <f>H16</f>
        <v xml:space="preserve">位置 Location </v>
      </c>
      <c r="I41" s="14" t="s">
        <v>92</v>
      </c>
      <c r="J41" s="14" t="s">
        <v>93</v>
      </c>
      <c r="K41" s="97" t="s">
        <v>489</v>
      </c>
      <c r="L41" s="98"/>
    </row>
    <row r="42" spans="1:15" x14ac:dyDescent="0.25">
      <c r="A42" s="5"/>
      <c r="B42" s="3"/>
      <c r="C42" s="5"/>
      <c r="D42" s="5"/>
      <c r="E42" s="5"/>
      <c r="F42" s="9"/>
      <c r="G42" s="5"/>
      <c r="H42" s="5"/>
      <c r="I42" s="49" t="str">
        <f>IF(COUNTBLANK(A42:H42)=8,IncompleteText,IF(AND(COUNTBLANK(A42:H42)=0, F42&gt;=85),IF(AND(H42="其他驱动系统",COUNTBLANK(J42)=1),ErrorText,OKText),ErrorText))</f>
        <v>BLANK</v>
      </c>
      <c r="J42" s="5"/>
      <c r="K42" s="98"/>
      <c r="L42" s="98"/>
    </row>
    <row r="43" spans="1:15" x14ac:dyDescent="0.25">
      <c r="A43" s="5"/>
      <c r="B43" s="3"/>
      <c r="C43" s="5"/>
      <c r="D43" s="5"/>
      <c r="E43" s="5"/>
      <c r="F43" s="5"/>
      <c r="G43" s="5"/>
      <c r="H43" s="5"/>
      <c r="I43" s="49" t="str">
        <f t="shared" ref="I43:I53" si="2">IF(COUNTBLANK(A43:H43)=8,"",IF(AND(COUNTBLANK(A43:H43)=0, F43&gt;=85),IF(AND(H43="其他驱动系统",COUNTBLANK(J43)=1),ErrorText,OKText),ErrorText))</f>
        <v/>
      </c>
      <c r="J43" s="5"/>
      <c r="K43" s="98"/>
      <c r="L43" s="98"/>
    </row>
    <row r="44" spans="1:15" x14ac:dyDescent="0.25">
      <c r="A44" s="5"/>
      <c r="B44" s="3"/>
      <c r="C44" s="5"/>
      <c r="D44" s="5"/>
      <c r="E44" s="5"/>
      <c r="F44" s="5"/>
      <c r="G44" s="5"/>
      <c r="H44" s="5"/>
      <c r="I44" s="49" t="str">
        <f t="shared" si="2"/>
        <v/>
      </c>
      <c r="J44" s="5"/>
      <c r="K44" s="98"/>
      <c r="L44" s="98"/>
    </row>
    <row r="45" spans="1:15" x14ac:dyDescent="0.25">
      <c r="A45" s="5"/>
      <c r="B45" s="3"/>
      <c r="C45" s="5"/>
      <c r="D45" s="5"/>
      <c r="E45" s="5"/>
      <c r="F45" s="5"/>
      <c r="G45" s="5"/>
      <c r="H45" s="5"/>
      <c r="I45" s="49" t="str">
        <f t="shared" si="2"/>
        <v/>
      </c>
      <c r="J45" s="5"/>
      <c r="K45" s="98"/>
      <c r="L45" s="98"/>
    </row>
    <row r="46" spans="1:15" x14ac:dyDescent="0.25">
      <c r="A46" s="5"/>
      <c r="B46" s="3"/>
      <c r="C46" s="5"/>
      <c r="D46" s="5"/>
      <c r="E46" s="5"/>
      <c r="F46" s="5"/>
      <c r="G46" s="5"/>
      <c r="H46" s="5"/>
      <c r="I46" s="49" t="str">
        <f t="shared" si="2"/>
        <v/>
      </c>
      <c r="J46" s="5"/>
      <c r="K46" s="98"/>
      <c r="L46" s="98"/>
    </row>
    <row r="47" spans="1:15" x14ac:dyDescent="0.25">
      <c r="A47" s="5"/>
      <c r="B47" s="3"/>
      <c r="C47" s="5"/>
      <c r="D47" s="5"/>
      <c r="E47" s="5"/>
      <c r="F47" s="5"/>
      <c r="G47" s="5"/>
      <c r="H47" s="5"/>
      <c r="I47" s="49" t="str">
        <f t="shared" si="2"/>
        <v/>
      </c>
      <c r="J47" s="5"/>
      <c r="K47" s="98"/>
      <c r="L47" s="98"/>
    </row>
    <row r="48" spans="1:15" x14ac:dyDescent="0.25">
      <c r="A48" s="5"/>
      <c r="B48" s="3"/>
      <c r="C48" s="5"/>
      <c r="D48" s="5"/>
      <c r="E48" s="5"/>
      <c r="F48" s="5"/>
      <c r="G48" s="5"/>
      <c r="H48" s="5"/>
      <c r="I48" s="49" t="str">
        <f t="shared" si="2"/>
        <v/>
      </c>
      <c r="J48" s="5"/>
      <c r="K48" s="98"/>
      <c r="L48" s="98"/>
    </row>
    <row r="49" spans="1:12" x14ac:dyDescent="0.25">
      <c r="A49" s="5"/>
      <c r="B49" s="3"/>
      <c r="C49" s="5"/>
      <c r="D49" s="5"/>
      <c r="E49" s="5"/>
      <c r="F49" s="5"/>
      <c r="G49" s="5"/>
      <c r="H49" s="5"/>
      <c r="I49" s="49" t="str">
        <f t="shared" si="2"/>
        <v/>
      </c>
      <c r="J49" s="5"/>
      <c r="K49" s="98"/>
      <c r="L49" s="98"/>
    </row>
    <row r="50" spans="1:12" x14ac:dyDescent="0.25">
      <c r="A50" s="5"/>
      <c r="B50" s="3"/>
      <c r="C50" s="5"/>
      <c r="D50" s="5"/>
      <c r="E50" s="5"/>
      <c r="F50" s="5"/>
      <c r="G50" s="5"/>
      <c r="H50" s="5"/>
      <c r="I50" s="49" t="str">
        <f t="shared" si="2"/>
        <v/>
      </c>
      <c r="J50" s="5"/>
      <c r="K50" s="98"/>
      <c r="L50" s="98"/>
    </row>
    <row r="51" spans="1:12" x14ac:dyDescent="0.25">
      <c r="A51" s="5"/>
      <c r="B51" s="3"/>
      <c r="C51" s="5"/>
      <c r="D51" s="5"/>
      <c r="E51" s="5"/>
      <c r="F51" s="5"/>
      <c r="G51" s="5"/>
      <c r="H51" s="5"/>
      <c r="I51" s="49" t="str">
        <f t="shared" si="2"/>
        <v/>
      </c>
      <c r="J51" s="5"/>
      <c r="K51" s="98"/>
      <c r="L51" s="98"/>
    </row>
    <row r="52" spans="1:12" x14ac:dyDescent="0.25">
      <c r="A52" s="5"/>
      <c r="B52" s="3"/>
      <c r="C52" s="5"/>
      <c r="D52" s="5"/>
      <c r="E52" s="5"/>
      <c r="F52" s="5"/>
      <c r="G52" s="5"/>
      <c r="H52" s="5"/>
      <c r="I52" s="49" t="str">
        <f t="shared" si="2"/>
        <v/>
      </c>
      <c r="J52" s="5"/>
      <c r="K52" s="98"/>
      <c r="L52" s="98"/>
    </row>
    <row r="53" spans="1:12" x14ac:dyDescent="0.25">
      <c r="A53" s="5"/>
      <c r="B53" s="3"/>
      <c r="C53" s="5"/>
      <c r="D53" s="5"/>
      <c r="E53" s="5"/>
      <c r="F53" s="5"/>
      <c r="G53" s="5"/>
      <c r="H53" s="5"/>
      <c r="I53" s="49" t="str">
        <f t="shared" si="2"/>
        <v/>
      </c>
      <c r="J53" s="5"/>
      <c r="K53" s="98"/>
      <c r="L53" s="98"/>
    </row>
    <row r="55" spans="1:12" x14ac:dyDescent="0.25">
      <c r="A55" s="105" t="s">
        <v>118</v>
      </c>
      <c r="B55" s="105"/>
      <c r="C55" s="105"/>
      <c r="D55" s="105"/>
      <c r="E55" s="105"/>
      <c r="F55" s="105"/>
      <c r="G55" s="105"/>
      <c r="H55" s="105"/>
      <c r="I55" s="49" t="str">
        <f>IF(COUNTIF(I57:I62, "="&amp;IncompleteText), IncompleteText, IF(COUNTIF(I57:I62, "="&amp;ErrorText), ErrorText, OKText))</f>
        <v>BLANK</v>
      </c>
      <c r="J55" s="82" t="s">
        <v>94</v>
      </c>
      <c r="K55" s="83"/>
      <c r="L55" s="83"/>
    </row>
    <row r="56" spans="1:12" ht="15.75" customHeight="1" x14ac:dyDescent="0.25">
      <c r="A56" s="14" t="s">
        <v>86</v>
      </c>
      <c r="B56" s="14" t="s">
        <v>87</v>
      </c>
      <c r="C56" s="14" t="s">
        <v>445</v>
      </c>
      <c r="D56" s="36" t="s">
        <v>119</v>
      </c>
      <c r="E56" s="14" t="s">
        <v>448</v>
      </c>
      <c r="F56" s="14" t="s">
        <v>120</v>
      </c>
      <c r="G56" s="14" t="s">
        <v>90</v>
      </c>
      <c r="H56" s="14" t="s">
        <v>91</v>
      </c>
      <c r="I56" s="51" t="s">
        <v>92</v>
      </c>
      <c r="J56" s="14" t="s">
        <v>93</v>
      </c>
      <c r="K56" s="97" t="s">
        <v>121</v>
      </c>
      <c r="L56" s="98"/>
    </row>
    <row r="57" spans="1:12" x14ac:dyDescent="0.25">
      <c r="A57" s="3"/>
      <c r="B57" s="3"/>
      <c r="C57" s="3"/>
      <c r="D57" s="3"/>
      <c r="E57" s="3"/>
      <c r="F57" s="5"/>
      <c r="G57" s="5"/>
      <c r="H57" s="4"/>
      <c r="I57" s="49" t="str">
        <f>IF(COUNTBLANK(A57:H57)=8,IncompleteText,IF(COUNTBLANK(A57:H57)=0,OKText,ErrorText))</f>
        <v>BLANK</v>
      </c>
      <c r="J57" s="5"/>
      <c r="K57" s="98"/>
      <c r="L57" s="98"/>
    </row>
    <row r="58" spans="1:12" x14ac:dyDescent="0.25">
      <c r="A58" s="5"/>
      <c r="B58" s="3"/>
      <c r="C58" s="5"/>
      <c r="D58" s="5"/>
      <c r="E58" s="5"/>
      <c r="F58" s="5"/>
      <c r="G58" s="5"/>
      <c r="H58" s="4"/>
      <c r="I58" s="49" t="str">
        <f>IF(COUNTBLANK(A58:H58)=8,"",IF(COUNTBLANK(A58:H58)=0,OKText,ErrorText))</f>
        <v/>
      </c>
      <c r="J58" s="5"/>
      <c r="K58" s="98"/>
      <c r="L58" s="98"/>
    </row>
    <row r="59" spans="1:12" x14ac:dyDescent="0.25">
      <c r="A59" s="5"/>
      <c r="B59" s="3"/>
      <c r="C59" s="5"/>
      <c r="D59" s="5"/>
      <c r="E59" s="5"/>
      <c r="F59" s="11"/>
      <c r="G59" s="5"/>
      <c r="H59" s="4"/>
      <c r="I59" s="49" t="str">
        <f>IF(COUNTBLANK(A59:H59)=8,"",IF(COUNTBLANK(A59:H59)=0,OKText,ErrorText))</f>
        <v/>
      </c>
      <c r="J59" s="5"/>
      <c r="K59" s="98"/>
      <c r="L59" s="98"/>
    </row>
    <row r="60" spans="1:12" x14ac:dyDescent="0.25">
      <c r="A60" s="5"/>
      <c r="B60" s="3"/>
      <c r="C60" s="5"/>
      <c r="D60" s="5"/>
      <c r="E60" s="5"/>
      <c r="F60" s="11"/>
      <c r="G60" s="5"/>
      <c r="H60" s="4"/>
      <c r="I60" s="49" t="str">
        <f>IF(COUNTBLANK(A60:H60)=8,"",IF(COUNTBLANK(A60:H60)=0,OKText,ErrorText))</f>
        <v/>
      </c>
      <c r="J60" s="5"/>
      <c r="K60" s="98"/>
      <c r="L60" s="98"/>
    </row>
    <row r="61" spans="1:12" x14ac:dyDescent="0.25">
      <c r="A61" s="5"/>
      <c r="B61" s="3"/>
      <c r="C61" s="5"/>
      <c r="D61" s="5"/>
      <c r="E61" s="5"/>
      <c r="F61" s="12"/>
      <c r="G61" s="5"/>
      <c r="H61" s="4"/>
      <c r="I61" s="49" t="str">
        <f>IF(COUNTBLANK(A61:H61)=8,"",IF(COUNTBLANK(A61:H61)=0,OKText,ErrorText))</f>
        <v/>
      </c>
      <c r="J61" s="5"/>
      <c r="K61" s="98"/>
      <c r="L61" s="98"/>
    </row>
    <row r="62" spans="1:12" x14ac:dyDescent="0.25">
      <c r="A62" s="5"/>
      <c r="B62" s="3"/>
      <c r="C62" s="5"/>
      <c r="D62" s="5"/>
      <c r="E62" s="5"/>
      <c r="F62" s="5"/>
      <c r="G62" s="5"/>
      <c r="H62" s="4"/>
      <c r="I62" s="49" t="str">
        <f>IF(COUNTBLANK(A62:H62)=8,"",IF(COUNTBLANK(A62:H62)=0,OKText,ErrorText))</f>
        <v/>
      </c>
      <c r="J62" s="5"/>
      <c r="K62" s="98"/>
      <c r="L62" s="98"/>
    </row>
    <row r="64" spans="1:12" x14ac:dyDescent="0.25">
      <c r="A64" s="105" t="s">
        <v>122</v>
      </c>
      <c r="B64" s="105"/>
      <c r="C64" s="105"/>
      <c r="D64" s="105"/>
      <c r="E64" s="105"/>
      <c r="F64" s="105"/>
      <c r="G64" s="105"/>
      <c r="H64" s="105"/>
      <c r="I64" s="49" t="str">
        <f>IF(COUNTIF(I66:I71, "="&amp;IncompleteText), IncompleteText, IF(COUNTIF(I66:I71, "="&amp;ErrorText), ErrorText, OKText))</f>
        <v>BLANK</v>
      </c>
      <c r="J64" s="82" t="s">
        <v>94</v>
      </c>
      <c r="K64" s="83"/>
      <c r="L64" s="83"/>
    </row>
    <row r="65" spans="1:12" x14ac:dyDescent="0.25">
      <c r="A65" s="14" t="s">
        <v>86</v>
      </c>
      <c r="B65" s="14" t="s">
        <v>87</v>
      </c>
      <c r="C65" s="14" t="s">
        <v>445</v>
      </c>
      <c r="D65" s="14" t="s">
        <v>449</v>
      </c>
      <c r="E65" s="14" t="s">
        <v>116</v>
      </c>
      <c r="F65" s="14" t="s">
        <v>123</v>
      </c>
      <c r="G65" s="14" t="s">
        <v>90</v>
      </c>
      <c r="H65" s="14" t="s">
        <v>91</v>
      </c>
      <c r="I65" s="14" t="s">
        <v>92</v>
      </c>
      <c r="J65" s="14" t="s">
        <v>93</v>
      </c>
      <c r="K65" s="97" t="s">
        <v>125</v>
      </c>
      <c r="L65" s="98"/>
    </row>
    <row r="66" spans="1:12" x14ac:dyDescent="0.25">
      <c r="A66" s="5"/>
      <c r="B66" s="3"/>
      <c r="C66" s="5"/>
      <c r="D66" s="5"/>
      <c r="E66" s="5"/>
      <c r="F66" s="5"/>
      <c r="G66" s="5"/>
      <c r="H66" s="4"/>
      <c r="I66" s="49" t="str">
        <f>IF(COUNTBLANK(A66:H66)=8,IncompleteText,IF(COUNTBLANK(A66:H66)=0,OKText,ErrorText))</f>
        <v>BLANK</v>
      </c>
      <c r="J66" s="5"/>
      <c r="K66" s="98"/>
      <c r="L66" s="98"/>
    </row>
    <row r="67" spans="1:12" x14ac:dyDescent="0.25">
      <c r="A67" s="5"/>
      <c r="B67" s="3"/>
      <c r="C67" s="5"/>
      <c r="D67" s="5"/>
      <c r="E67" s="5"/>
      <c r="F67" s="5"/>
      <c r="G67" s="5"/>
      <c r="H67" s="4"/>
      <c r="I67" s="49" t="str">
        <f>IF(COUNTBLANK(A67:H67)=8,"",IF(COUNTBLANK(A67:H67)=0,OKText,ErrorText))</f>
        <v/>
      </c>
      <c r="J67" s="5"/>
      <c r="K67" s="98"/>
      <c r="L67" s="98"/>
    </row>
    <row r="68" spans="1:12" x14ac:dyDescent="0.25">
      <c r="A68" s="5"/>
      <c r="B68" s="3"/>
      <c r="C68" s="5"/>
      <c r="D68" s="5"/>
      <c r="E68" s="5"/>
      <c r="F68" s="5"/>
      <c r="G68" s="5"/>
      <c r="H68" s="4"/>
      <c r="I68" s="49" t="str">
        <f>IF(COUNTBLANK(A68:H68)=8,"",IF(COUNTBLANK(A68:H68)=0,OKText,ErrorText))</f>
        <v/>
      </c>
      <c r="J68" s="5"/>
      <c r="K68" s="98"/>
      <c r="L68" s="98"/>
    </row>
    <row r="69" spans="1:12" x14ac:dyDescent="0.25">
      <c r="A69" s="5"/>
      <c r="B69" s="3"/>
      <c r="C69" s="5"/>
      <c r="D69" s="5"/>
      <c r="E69" s="5"/>
      <c r="F69" s="5"/>
      <c r="G69" s="5"/>
      <c r="H69" s="4"/>
      <c r="I69" s="49" t="str">
        <f>IF(COUNTBLANK(A69:H69)=8,"",IF(COUNTBLANK(A69:H69)=0,OKText,ErrorText))</f>
        <v/>
      </c>
      <c r="J69" s="5"/>
      <c r="K69" s="98"/>
      <c r="L69" s="98"/>
    </row>
    <row r="70" spans="1:12" x14ac:dyDescent="0.25">
      <c r="A70" s="5"/>
      <c r="B70" s="3"/>
      <c r="C70" s="5"/>
      <c r="D70" s="5"/>
      <c r="E70" s="5"/>
      <c r="F70" s="5"/>
      <c r="G70" s="5"/>
      <c r="H70" s="4"/>
      <c r="I70" s="49" t="str">
        <f>IF(COUNTBLANK(A70:H70)=8,"",IF(COUNTBLANK(A70:H70)=0,OKText,ErrorText))</f>
        <v/>
      </c>
      <c r="J70" s="5"/>
      <c r="K70" s="98"/>
      <c r="L70" s="98"/>
    </row>
    <row r="72" spans="1:12" x14ac:dyDescent="0.25">
      <c r="A72" s="105" t="s">
        <v>124</v>
      </c>
      <c r="B72" s="83"/>
      <c r="C72" s="83"/>
      <c r="D72" s="83"/>
      <c r="E72" s="83"/>
      <c r="F72" s="83"/>
      <c r="G72" s="83"/>
      <c r="H72" s="83"/>
      <c r="I72" s="49" t="str">
        <f>IF(COUNTIF(I74:I92, "="&amp;IncompleteText), IncompleteText, IF(COUNTIF(I74:I92, "="&amp;ErrorText), ErrorText, OKText))</f>
        <v>BLANK</v>
      </c>
      <c r="J72" s="82" t="s">
        <v>94</v>
      </c>
      <c r="K72" s="83"/>
      <c r="L72" s="83"/>
    </row>
    <row r="73" spans="1:12" x14ac:dyDescent="0.25">
      <c r="A73" s="14" t="s">
        <v>86</v>
      </c>
      <c r="B73" s="14" t="s">
        <v>87</v>
      </c>
      <c r="C73" s="14" t="s">
        <v>445</v>
      </c>
      <c r="D73" s="14" t="s">
        <v>447</v>
      </c>
      <c r="E73" s="36" t="s">
        <v>126</v>
      </c>
      <c r="F73" s="110" t="s">
        <v>90</v>
      </c>
      <c r="G73" s="110"/>
      <c r="H73" s="14" t="s">
        <v>91</v>
      </c>
      <c r="I73" s="14" t="s">
        <v>92</v>
      </c>
      <c r="J73" s="14" t="s">
        <v>93</v>
      </c>
      <c r="K73" s="97" t="s">
        <v>127</v>
      </c>
      <c r="L73" s="114"/>
    </row>
    <row r="74" spans="1:12" x14ac:dyDescent="0.25">
      <c r="A74" s="5"/>
      <c r="B74" s="3"/>
      <c r="C74" s="5"/>
      <c r="D74" s="5"/>
      <c r="E74" s="5"/>
      <c r="F74" s="108"/>
      <c r="G74" s="108"/>
      <c r="H74" s="4"/>
      <c r="I74" s="49" t="str">
        <f>IF(COUNTBLANK(A74:H74)=8,IncompleteText,IF(COUNTBLANK(A74:H74)=1,OKText,ErrorText))</f>
        <v>BLANK</v>
      </c>
      <c r="J74" s="5"/>
      <c r="K74" s="114"/>
      <c r="L74" s="114"/>
    </row>
    <row r="75" spans="1:12" x14ac:dyDescent="0.25">
      <c r="A75" s="5"/>
      <c r="B75" s="3"/>
      <c r="C75" s="5"/>
      <c r="D75" s="5"/>
      <c r="E75" s="5"/>
      <c r="F75" s="108"/>
      <c r="G75" s="108"/>
      <c r="H75" s="4"/>
      <c r="I75" s="49" t="str">
        <f t="shared" ref="I75:I92" si="3">IF(COUNTBLANK(A75:H75)=8,"",IF(COUNTBLANK(A75:H75)=1,OKText,ErrorText))</f>
        <v/>
      </c>
      <c r="J75" s="5"/>
      <c r="K75" s="114"/>
      <c r="L75" s="114"/>
    </row>
    <row r="76" spans="1:12" x14ac:dyDescent="0.25">
      <c r="A76" s="5"/>
      <c r="B76" s="3"/>
      <c r="C76" s="5"/>
      <c r="D76" s="5"/>
      <c r="E76" s="5"/>
      <c r="F76" s="108"/>
      <c r="G76" s="108"/>
      <c r="H76" s="4"/>
      <c r="I76" s="49" t="str">
        <f t="shared" si="3"/>
        <v/>
      </c>
      <c r="J76" s="5"/>
      <c r="K76" s="114"/>
      <c r="L76" s="114"/>
    </row>
    <row r="77" spans="1:12" x14ac:dyDescent="0.25">
      <c r="A77" s="5"/>
      <c r="B77" s="3"/>
      <c r="C77" s="5"/>
      <c r="D77" s="5"/>
      <c r="E77" s="5"/>
      <c r="F77" s="108"/>
      <c r="G77" s="108"/>
      <c r="H77" s="4"/>
      <c r="I77" s="49" t="str">
        <f t="shared" si="3"/>
        <v/>
      </c>
      <c r="J77" s="5"/>
      <c r="K77" s="114"/>
      <c r="L77" s="114"/>
    </row>
    <row r="78" spans="1:12" x14ac:dyDescent="0.25">
      <c r="A78" s="5"/>
      <c r="B78" s="3"/>
      <c r="C78" s="5"/>
      <c r="D78" s="5"/>
      <c r="E78" s="5"/>
      <c r="F78" s="108"/>
      <c r="G78" s="108"/>
      <c r="H78" s="4"/>
      <c r="I78" s="49" t="str">
        <f t="shared" si="3"/>
        <v/>
      </c>
      <c r="J78" s="5"/>
      <c r="K78" s="114"/>
      <c r="L78" s="114"/>
    </row>
    <row r="79" spans="1:12" x14ac:dyDescent="0.25">
      <c r="A79" s="5"/>
      <c r="B79" s="3"/>
      <c r="C79" s="5"/>
      <c r="D79" s="5"/>
      <c r="E79" s="5"/>
      <c r="F79" s="108"/>
      <c r="G79" s="108"/>
      <c r="H79" s="4"/>
      <c r="I79" s="49" t="str">
        <f t="shared" si="3"/>
        <v/>
      </c>
      <c r="J79" s="5"/>
      <c r="K79" s="114"/>
      <c r="L79" s="114"/>
    </row>
    <row r="80" spans="1:12" x14ac:dyDescent="0.25">
      <c r="A80" s="5"/>
      <c r="B80" s="3"/>
      <c r="C80" s="5"/>
      <c r="D80" s="5"/>
      <c r="E80" s="5"/>
      <c r="F80" s="108"/>
      <c r="G80" s="108"/>
      <c r="H80" s="4"/>
      <c r="I80" s="49" t="str">
        <f t="shared" si="3"/>
        <v/>
      </c>
      <c r="J80" s="5"/>
      <c r="K80" s="114"/>
      <c r="L80" s="114"/>
    </row>
    <row r="81" spans="1:12" x14ac:dyDescent="0.25">
      <c r="A81" s="5"/>
      <c r="B81" s="3"/>
      <c r="C81" s="5"/>
      <c r="D81" s="5"/>
      <c r="E81" s="5"/>
      <c r="F81" s="108"/>
      <c r="G81" s="108"/>
      <c r="H81" s="4"/>
      <c r="I81" s="49" t="str">
        <f t="shared" si="3"/>
        <v/>
      </c>
      <c r="J81" s="5"/>
      <c r="K81" s="114"/>
      <c r="L81" s="114"/>
    </row>
    <row r="82" spans="1:12" x14ac:dyDescent="0.25">
      <c r="A82" s="5"/>
      <c r="B82" s="3"/>
      <c r="C82" s="5"/>
      <c r="D82" s="5"/>
      <c r="E82" s="5"/>
      <c r="F82" s="108"/>
      <c r="G82" s="108"/>
      <c r="H82" s="4"/>
      <c r="I82" s="49" t="str">
        <f t="shared" si="3"/>
        <v/>
      </c>
      <c r="J82" s="5"/>
      <c r="K82" s="114"/>
      <c r="L82" s="114"/>
    </row>
    <row r="83" spans="1:12" x14ac:dyDescent="0.25">
      <c r="A83" s="5"/>
      <c r="B83" s="3"/>
      <c r="C83" s="5"/>
      <c r="D83" s="5"/>
      <c r="E83" s="5"/>
      <c r="F83" s="108"/>
      <c r="G83" s="108"/>
      <c r="H83" s="4"/>
      <c r="I83" s="49" t="str">
        <f t="shared" si="3"/>
        <v/>
      </c>
      <c r="J83" s="5"/>
      <c r="K83" s="114"/>
      <c r="L83" s="114"/>
    </row>
    <row r="84" spans="1:12" x14ac:dyDescent="0.25">
      <c r="A84" s="5"/>
      <c r="B84" s="3"/>
      <c r="C84" s="5"/>
      <c r="D84" s="5"/>
      <c r="E84" s="5"/>
      <c r="F84" s="108"/>
      <c r="G84" s="108"/>
      <c r="H84" s="4"/>
      <c r="I84" s="49" t="str">
        <f t="shared" si="3"/>
        <v/>
      </c>
      <c r="J84" s="5"/>
      <c r="K84" s="114"/>
      <c r="L84" s="114"/>
    </row>
    <row r="85" spans="1:12" x14ac:dyDescent="0.25">
      <c r="A85" s="5"/>
      <c r="B85" s="3"/>
      <c r="C85" s="5"/>
      <c r="D85" s="5"/>
      <c r="E85" s="5"/>
      <c r="F85" s="108"/>
      <c r="G85" s="108"/>
      <c r="H85" s="4"/>
      <c r="I85" s="49" t="str">
        <f t="shared" si="3"/>
        <v/>
      </c>
      <c r="J85" s="5"/>
      <c r="K85" s="114"/>
      <c r="L85" s="114"/>
    </row>
    <row r="86" spans="1:12" x14ac:dyDescent="0.25">
      <c r="A86" s="5"/>
      <c r="B86" s="3"/>
      <c r="C86" s="5"/>
      <c r="D86" s="5"/>
      <c r="E86" s="5"/>
      <c r="F86" s="108"/>
      <c r="G86" s="108"/>
      <c r="H86" s="4"/>
      <c r="I86" s="49" t="str">
        <f t="shared" si="3"/>
        <v/>
      </c>
      <c r="J86" s="5"/>
      <c r="K86" s="114"/>
      <c r="L86" s="114"/>
    </row>
    <row r="87" spans="1:12" x14ac:dyDescent="0.25">
      <c r="A87" s="5"/>
      <c r="B87" s="3"/>
      <c r="C87" s="5"/>
      <c r="D87" s="5"/>
      <c r="E87" s="5"/>
      <c r="F87" s="108"/>
      <c r="G87" s="108"/>
      <c r="H87" s="4"/>
      <c r="I87" s="49" t="str">
        <f t="shared" si="3"/>
        <v/>
      </c>
      <c r="J87" s="5"/>
      <c r="K87" s="114"/>
      <c r="L87" s="114"/>
    </row>
    <row r="88" spans="1:12" x14ac:dyDescent="0.25">
      <c r="A88" s="5"/>
      <c r="B88" s="3"/>
      <c r="C88" s="5"/>
      <c r="D88" s="5"/>
      <c r="E88" s="5"/>
      <c r="F88" s="108"/>
      <c r="G88" s="108"/>
      <c r="H88" s="4"/>
      <c r="I88" s="49" t="str">
        <f t="shared" si="3"/>
        <v/>
      </c>
      <c r="J88" s="5"/>
      <c r="K88" s="114"/>
      <c r="L88" s="114"/>
    </row>
    <row r="89" spans="1:12" x14ac:dyDescent="0.25">
      <c r="A89" s="5"/>
      <c r="B89" s="3"/>
      <c r="C89" s="5"/>
      <c r="D89" s="5"/>
      <c r="E89" s="5"/>
      <c r="F89" s="108"/>
      <c r="G89" s="108"/>
      <c r="H89" s="4"/>
      <c r="I89" s="49" t="str">
        <f t="shared" si="3"/>
        <v/>
      </c>
      <c r="J89" s="5"/>
      <c r="K89" s="114"/>
      <c r="L89" s="114"/>
    </row>
    <row r="90" spans="1:12" x14ac:dyDescent="0.25">
      <c r="A90" s="5"/>
      <c r="B90" s="3"/>
      <c r="C90" s="5"/>
      <c r="D90" s="5"/>
      <c r="E90" s="5"/>
      <c r="F90" s="108"/>
      <c r="G90" s="108"/>
      <c r="H90" s="4"/>
      <c r="I90" s="49" t="str">
        <f t="shared" si="3"/>
        <v/>
      </c>
      <c r="J90" s="5"/>
      <c r="K90" s="114"/>
      <c r="L90" s="114"/>
    </row>
    <row r="91" spans="1:12" x14ac:dyDescent="0.25">
      <c r="A91" s="5"/>
      <c r="B91" s="3"/>
      <c r="C91" s="5"/>
      <c r="D91" s="5"/>
      <c r="E91" s="5"/>
      <c r="F91" s="108"/>
      <c r="G91" s="108"/>
      <c r="H91" s="4"/>
      <c r="I91" s="49" t="str">
        <f t="shared" si="3"/>
        <v/>
      </c>
      <c r="J91" s="5"/>
      <c r="K91" s="114"/>
      <c r="L91" s="114"/>
    </row>
    <row r="92" spans="1:12" x14ac:dyDescent="0.25">
      <c r="A92" s="5"/>
      <c r="B92" s="3"/>
      <c r="C92" s="5"/>
      <c r="D92" s="5"/>
      <c r="E92" s="5"/>
      <c r="F92" s="108"/>
      <c r="G92" s="108"/>
      <c r="H92" s="4"/>
      <c r="I92" s="49" t="str">
        <f t="shared" si="3"/>
        <v/>
      </c>
      <c r="J92" s="5"/>
      <c r="K92" s="114"/>
      <c r="L92" s="114"/>
    </row>
    <row r="94" spans="1:12" x14ac:dyDescent="0.25">
      <c r="A94" s="105" t="s">
        <v>128</v>
      </c>
      <c r="B94" s="105"/>
      <c r="C94" s="105"/>
      <c r="D94" s="105"/>
      <c r="E94" s="105"/>
      <c r="F94" s="105"/>
      <c r="G94" s="105"/>
      <c r="H94" s="105"/>
      <c r="I94" s="105"/>
      <c r="J94" s="49" t="str">
        <f>IF(COUNTIF(J96:J105, "="&amp;IncompleteText), IncompleteText, IF(COUNTIF(J96:J105, "="&amp;ErrorText), ErrorText, OKText))</f>
        <v>BLANK</v>
      </c>
      <c r="K94" s="82" t="s">
        <v>94</v>
      </c>
      <c r="L94" s="83"/>
    </row>
    <row r="95" spans="1:12" x14ac:dyDescent="0.25">
      <c r="A95" s="14" t="s">
        <v>86</v>
      </c>
      <c r="B95" s="14" t="s">
        <v>87</v>
      </c>
      <c r="C95" s="14" t="s">
        <v>129</v>
      </c>
      <c r="D95" s="14" t="s">
        <v>130</v>
      </c>
      <c r="E95" s="14" t="s">
        <v>131</v>
      </c>
      <c r="F95" s="14" t="s">
        <v>89</v>
      </c>
      <c r="G95" s="14" t="s">
        <v>132</v>
      </c>
      <c r="H95" s="15" t="s">
        <v>90</v>
      </c>
      <c r="I95" s="14" t="s">
        <v>91</v>
      </c>
      <c r="J95" s="14" t="s">
        <v>92</v>
      </c>
      <c r="K95" s="14" t="s">
        <v>133</v>
      </c>
      <c r="L95" s="111" t="s">
        <v>477</v>
      </c>
    </row>
    <row r="96" spans="1:12" x14ac:dyDescent="0.25">
      <c r="A96" s="3"/>
      <c r="B96" s="3"/>
      <c r="C96" s="13"/>
      <c r="D96" s="13"/>
      <c r="E96" s="73" t="str">
        <f t="shared" ref="E96:E105" si="4">IF(OR(ISBLANK(C96),ISBLANK(D96)), "", C96*D96)</f>
        <v/>
      </c>
      <c r="F96" s="13"/>
      <c r="G96" s="3"/>
      <c r="H96" s="5"/>
      <c r="I96" s="4"/>
      <c r="J96" s="49" t="str">
        <f>IF(COUNTBLANK(B96:I96)=8,IncompleteText,IF(AND(COUNTBLANK(B96:I96)=0,E96&gt;=85),OKText,ErrorText))</f>
        <v>BLANK</v>
      </c>
      <c r="K96" s="4"/>
      <c r="L96" s="112"/>
    </row>
    <row r="97" spans="1:12" x14ac:dyDescent="0.25">
      <c r="A97" s="5"/>
      <c r="B97" s="3"/>
      <c r="C97" s="13"/>
      <c r="D97" s="13"/>
      <c r="E97" s="73" t="str">
        <f t="shared" si="4"/>
        <v/>
      </c>
      <c r="F97" s="13"/>
      <c r="G97" s="3"/>
      <c r="H97" s="5"/>
      <c r="I97" s="4"/>
      <c r="J97" s="49" t="str">
        <f t="shared" ref="J97:J105" si="5">IF(COUNTBLANK(B97:I97)=8,"",IF(AND(COUNTBLANK(B97:I97)=0,E97&gt;=85),OKText,ErrorText))</f>
        <v/>
      </c>
      <c r="K97" s="4"/>
      <c r="L97" s="112"/>
    </row>
    <row r="98" spans="1:12" x14ac:dyDescent="0.25">
      <c r="A98" s="5"/>
      <c r="B98" s="3"/>
      <c r="C98" s="13"/>
      <c r="D98" s="13"/>
      <c r="E98" s="73" t="str">
        <f t="shared" si="4"/>
        <v/>
      </c>
      <c r="F98" s="13"/>
      <c r="G98" s="3"/>
      <c r="H98" s="5"/>
      <c r="I98" s="4"/>
      <c r="J98" s="49" t="str">
        <f t="shared" si="5"/>
        <v/>
      </c>
      <c r="K98" s="4"/>
      <c r="L98" s="112"/>
    </row>
    <row r="99" spans="1:12" x14ac:dyDescent="0.25">
      <c r="A99" s="5"/>
      <c r="B99" s="3"/>
      <c r="C99" s="13"/>
      <c r="D99" s="13"/>
      <c r="E99" s="73" t="str">
        <f t="shared" si="4"/>
        <v/>
      </c>
      <c r="F99" s="13"/>
      <c r="G99" s="3"/>
      <c r="H99" s="5"/>
      <c r="I99" s="4"/>
      <c r="J99" s="49" t="str">
        <f t="shared" si="5"/>
        <v/>
      </c>
      <c r="K99" s="4"/>
      <c r="L99" s="112"/>
    </row>
    <row r="100" spans="1:12" x14ac:dyDescent="0.25">
      <c r="A100" s="5"/>
      <c r="B100" s="3"/>
      <c r="C100" s="13"/>
      <c r="D100" s="13"/>
      <c r="E100" s="73" t="str">
        <f t="shared" si="4"/>
        <v/>
      </c>
      <c r="F100" s="13"/>
      <c r="G100" s="3"/>
      <c r="H100" s="5"/>
      <c r="I100" s="4"/>
      <c r="J100" s="49" t="str">
        <f t="shared" si="5"/>
        <v/>
      </c>
      <c r="K100" s="4"/>
      <c r="L100" s="112"/>
    </row>
    <row r="101" spans="1:12" x14ac:dyDescent="0.25">
      <c r="A101" s="5"/>
      <c r="B101" s="3"/>
      <c r="C101" s="13"/>
      <c r="D101" s="13"/>
      <c r="E101" s="73" t="str">
        <f t="shared" si="4"/>
        <v/>
      </c>
      <c r="F101" s="13"/>
      <c r="G101" s="3"/>
      <c r="H101" s="5"/>
      <c r="I101" s="4"/>
      <c r="J101" s="49" t="str">
        <f t="shared" si="5"/>
        <v/>
      </c>
      <c r="K101" s="4"/>
      <c r="L101" s="112"/>
    </row>
    <row r="102" spans="1:12" x14ac:dyDescent="0.25">
      <c r="A102" s="5"/>
      <c r="B102" s="3"/>
      <c r="C102" s="13"/>
      <c r="D102" s="13"/>
      <c r="E102" s="73" t="str">
        <f t="shared" si="4"/>
        <v/>
      </c>
      <c r="F102" s="13"/>
      <c r="G102" s="3"/>
      <c r="H102" s="5"/>
      <c r="I102" s="4"/>
      <c r="J102" s="49" t="str">
        <f t="shared" si="5"/>
        <v/>
      </c>
      <c r="K102" s="4"/>
      <c r="L102" s="112"/>
    </row>
    <row r="103" spans="1:12" x14ac:dyDescent="0.25">
      <c r="A103" s="5"/>
      <c r="B103" s="3"/>
      <c r="C103" s="13"/>
      <c r="D103" s="13"/>
      <c r="E103" s="73" t="str">
        <f t="shared" si="4"/>
        <v/>
      </c>
      <c r="F103" s="13"/>
      <c r="G103" s="3"/>
      <c r="H103" s="5"/>
      <c r="I103" s="4"/>
      <c r="J103" s="49" t="str">
        <f t="shared" si="5"/>
        <v/>
      </c>
      <c r="K103" s="4"/>
      <c r="L103" s="112"/>
    </row>
    <row r="104" spans="1:12" x14ac:dyDescent="0.25">
      <c r="A104" s="5"/>
      <c r="B104" s="3"/>
      <c r="C104" s="13"/>
      <c r="D104" s="13"/>
      <c r="E104" s="73" t="str">
        <f t="shared" si="4"/>
        <v/>
      </c>
      <c r="F104" s="13"/>
      <c r="G104" s="3"/>
      <c r="H104" s="5"/>
      <c r="I104" s="4"/>
      <c r="J104" s="49" t="str">
        <f t="shared" si="5"/>
        <v/>
      </c>
      <c r="K104" s="4"/>
      <c r="L104" s="112"/>
    </row>
    <row r="105" spans="1:12" x14ac:dyDescent="0.25">
      <c r="A105" s="5"/>
      <c r="B105" s="3"/>
      <c r="C105" s="13"/>
      <c r="D105" s="13"/>
      <c r="E105" s="73" t="str">
        <f t="shared" si="4"/>
        <v/>
      </c>
      <c r="F105" s="13"/>
      <c r="G105" s="3"/>
      <c r="H105" s="5"/>
      <c r="I105" s="4"/>
      <c r="J105" s="49" t="str">
        <f t="shared" si="5"/>
        <v/>
      </c>
      <c r="K105" s="4"/>
      <c r="L105" s="113"/>
    </row>
  </sheetData>
  <sheetProtection algorithmName="SHA-512" hashValue="xBeEUwmKF9EtANv2Kmc9Xi10jCDsVR4R6dD/oLQ5ANhT+CbXAfvczjlaXvMYKEkeiiovQUk/TOx8q+GtfDnN3g==" saltValue="V1AroRmLzyUv72zFBKGZ9g==" spinCount="100000" sheet="1" scenarios="1" insertRows="0" insertHyperlinks="0"/>
  <protectedRanges>
    <protectedRange sqref="A96:D105 F96:I105 K96:K105" name="dat2"/>
    <protectedRange sqref="C3:D4 C5:C11 C12:D13 A17:H38 J17:J38 J42:J53 A42:H53 A57:H62 J57:J62 J66:J70 A66:H70 A74:H92 J74:J92" name="data1"/>
  </protectedRanges>
  <mergeCells count="54">
    <mergeCell ref="K94:L94"/>
    <mergeCell ref="L95:L105"/>
    <mergeCell ref="F92:G92"/>
    <mergeCell ref="A72:H72"/>
    <mergeCell ref="J72:L72"/>
    <mergeCell ref="K73:L92"/>
    <mergeCell ref="A94:I94"/>
    <mergeCell ref="F87:G87"/>
    <mergeCell ref="F88:G88"/>
    <mergeCell ref="F89:G89"/>
    <mergeCell ref="F90:G90"/>
    <mergeCell ref="F91:G91"/>
    <mergeCell ref="F82:G82"/>
    <mergeCell ref="F83:G83"/>
    <mergeCell ref="F84:G84"/>
    <mergeCell ref="F85:G85"/>
    <mergeCell ref="F86:G86"/>
    <mergeCell ref="F77:G77"/>
    <mergeCell ref="F78:G78"/>
    <mergeCell ref="F79:G79"/>
    <mergeCell ref="F80:G80"/>
    <mergeCell ref="F81:G81"/>
    <mergeCell ref="F73:G73"/>
    <mergeCell ref="F74:G74"/>
    <mergeCell ref="F75:G75"/>
    <mergeCell ref="F76:G76"/>
    <mergeCell ref="A64:H64"/>
    <mergeCell ref="J64:L64"/>
    <mergeCell ref="K65:L70"/>
    <mergeCell ref="A55:H55"/>
    <mergeCell ref="J55:L55"/>
    <mergeCell ref="K56:L62"/>
    <mergeCell ref="A10:B10"/>
    <mergeCell ref="A12:B12"/>
    <mergeCell ref="C12:D12"/>
    <mergeCell ref="A13:B13"/>
    <mergeCell ref="C13:D13"/>
    <mergeCell ref="A5:B5"/>
    <mergeCell ref="A6:B6"/>
    <mergeCell ref="A7:B7"/>
    <mergeCell ref="A8:B8"/>
    <mergeCell ref="A9:B9"/>
    <mergeCell ref="A2:D2"/>
    <mergeCell ref="A3:B3"/>
    <mergeCell ref="C3:D3"/>
    <mergeCell ref="A4:B4"/>
    <mergeCell ref="C4:D4"/>
    <mergeCell ref="K41:L53"/>
    <mergeCell ref="K16:L38"/>
    <mergeCell ref="A40:H40"/>
    <mergeCell ref="J40:L40"/>
    <mergeCell ref="A11:B11"/>
    <mergeCell ref="A15:H15"/>
    <mergeCell ref="K15:L15"/>
  </mergeCells>
  <phoneticPr fontId="12" type="noConversion"/>
  <dataValidations count="5">
    <dataValidation type="list" allowBlank="1" showInputMessage="1" showErrorMessage="1" sqref="H42:H53 H17:H38" xr:uid="{86A2F839-ED30-4ECC-9A78-C4094FEA3093}">
      <formula1>$O$16:$O$34</formula1>
    </dataValidation>
    <dataValidation type="list" allowBlank="1" showInputMessage="1" showErrorMessage="1" sqref="H57:H62" xr:uid="{17786410-1774-4358-9237-C64306537F38}">
      <formula1>"预充电路 Precharge,放电回路 Discharge,其他-驱动系统 Other TS,其他-低压系统 Other LVS"</formula1>
    </dataValidation>
    <dataValidation type="list" allowBlank="1" showInputMessage="1" showErrorMessage="1" sqref="F66:F70" xr:uid="{F7617659-F585-4437-84BB-E0CD9E1E715E}">
      <formula1>"NO,NC"</formula1>
    </dataValidation>
    <dataValidation type="list" allowBlank="1" showInputMessage="1" showErrorMessage="1" sqref="H66:H70" xr:uid="{5E7FE361-BDBC-440C-AFB4-BA6CE72D52C9}">
      <formula1>"AIR,预充电 Precharge,放电 Discharge,其他 Other"</formula1>
    </dataValidation>
    <dataValidation type="list" allowBlank="1" showInputMessage="1" showErrorMessage="1" sqref="H74:H92" xr:uid="{924CF4BD-C6D4-40AB-A8BB-4F48E0D936CB}">
      <formula1>"维护插头Maintenance plugs,电池箱主接插件TSAC Main TS Connectors,电池箱其他驱动系统接插件TSAC Other TS  Connectors,HVD,能量计壳体Datalogger Container,电机控制器壳体MCU Container,电机控制器到电机Between MCU and Motor,其他驱动系统位置Other TS Connectors"</formula1>
    </dataValidation>
  </dataValidations>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772C8-41B0-47CC-ADD0-BF28194D00AC}">
  <sheetPr codeName="Sheet3"/>
  <dimension ref="A1:AE50"/>
  <sheetViews>
    <sheetView zoomScale="85" zoomScaleNormal="85" workbookViewId="0">
      <selection activeCell="M2" sqref="M2:W27"/>
    </sheetView>
  </sheetViews>
  <sheetFormatPr defaultRowHeight="13.8" x14ac:dyDescent="0.25"/>
  <cols>
    <col min="1" max="1" width="11" customWidth="1"/>
    <col min="11" max="11" width="16.109375" customWidth="1"/>
    <col min="13" max="13" width="17" customWidth="1"/>
    <col min="25" max="25" width="22.77734375" customWidth="1"/>
    <col min="26" max="26" width="25.33203125" customWidth="1"/>
    <col min="31" max="31" width="9" customWidth="1"/>
  </cols>
  <sheetData>
    <row r="1" spans="1:31" x14ac:dyDescent="0.25">
      <c r="A1" s="14" t="s">
        <v>72</v>
      </c>
      <c r="B1" s="49" t="str" cm="1">
        <f t="array" aca="1" ref="B1" ca="1">IF(SUM(COUNTIF(INDIRECT({"$K$28","$W$28","$K$48"}), "="&amp;IncompleteText)), IncompleteText, IF(SUM(COUNTIF(INDIRECT({"$K$28","$W$28","$K$48"}), "="&amp;ErrorText)), ErrorText, OKText))</f>
        <v>BLANK</v>
      </c>
      <c r="C1" s="2"/>
      <c r="D1" s="2"/>
      <c r="E1" s="2"/>
      <c r="F1" s="2"/>
      <c r="G1" s="2"/>
      <c r="H1" s="2"/>
      <c r="I1" s="2"/>
      <c r="J1" s="2"/>
      <c r="K1" s="2"/>
    </row>
    <row r="2" spans="1:31" ht="32.1" customHeight="1" x14ac:dyDescent="0.25">
      <c r="A2" s="115" t="s">
        <v>135</v>
      </c>
      <c r="B2" s="115"/>
      <c r="C2" s="115"/>
      <c r="D2" s="115"/>
      <c r="E2" s="115"/>
      <c r="F2" s="115"/>
      <c r="G2" s="115"/>
      <c r="H2" s="115"/>
      <c r="I2" s="115"/>
      <c r="J2" s="115"/>
      <c r="K2" s="115"/>
      <c r="M2" s="127" t="s">
        <v>134</v>
      </c>
      <c r="N2" s="115"/>
      <c r="O2" s="115"/>
      <c r="P2" s="115"/>
      <c r="Q2" s="115"/>
      <c r="R2" s="115"/>
      <c r="S2" s="115"/>
      <c r="T2" s="115"/>
      <c r="U2" s="115"/>
      <c r="V2" s="115"/>
      <c r="W2" s="115"/>
      <c r="Y2" s="122" t="s">
        <v>466</v>
      </c>
      <c r="Z2" s="83"/>
      <c r="AA2" s="83"/>
      <c r="AB2" s="83"/>
      <c r="AC2" s="83"/>
      <c r="AD2" s="83"/>
      <c r="AE2" s="83"/>
    </row>
    <row r="3" spans="1:31" ht="32.1" customHeight="1" x14ac:dyDescent="0.25">
      <c r="A3" s="115"/>
      <c r="B3" s="115"/>
      <c r="C3" s="115"/>
      <c r="D3" s="115"/>
      <c r="E3" s="115"/>
      <c r="F3" s="115"/>
      <c r="G3" s="115"/>
      <c r="H3" s="115"/>
      <c r="I3" s="115"/>
      <c r="J3" s="115"/>
      <c r="K3" s="115"/>
      <c r="M3" s="115"/>
      <c r="N3" s="115"/>
      <c r="O3" s="115"/>
      <c r="P3" s="115"/>
      <c r="Q3" s="115"/>
      <c r="R3" s="115"/>
      <c r="S3" s="115"/>
      <c r="T3" s="115"/>
      <c r="U3" s="115"/>
      <c r="V3" s="115"/>
      <c r="W3" s="115"/>
      <c r="Y3" s="123" t="s">
        <v>465</v>
      </c>
      <c r="Z3" s="124"/>
      <c r="AA3" s="124"/>
      <c r="AB3" s="124"/>
      <c r="AC3" s="124"/>
      <c r="AD3" s="124"/>
      <c r="AE3" s="124"/>
    </row>
    <row r="4" spans="1:31" ht="32.1" customHeight="1" x14ac:dyDescent="0.25">
      <c r="A4" s="115"/>
      <c r="B4" s="115"/>
      <c r="C4" s="115"/>
      <c r="D4" s="115"/>
      <c r="E4" s="115"/>
      <c r="F4" s="115"/>
      <c r="G4" s="115"/>
      <c r="H4" s="115"/>
      <c r="I4" s="115"/>
      <c r="J4" s="115"/>
      <c r="K4" s="115"/>
      <c r="M4" s="115"/>
      <c r="N4" s="115"/>
      <c r="O4" s="115"/>
      <c r="P4" s="115"/>
      <c r="Q4" s="115"/>
      <c r="R4" s="115"/>
      <c r="S4" s="115"/>
      <c r="T4" s="115"/>
      <c r="U4" s="115"/>
      <c r="V4" s="115"/>
      <c r="W4" s="115"/>
      <c r="Y4" s="125"/>
      <c r="Z4" s="125"/>
      <c r="AA4" s="125"/>
      <c r="AB4" s="125"/>
      <c r="AC4" s="125"/>
      <c r="AD4" s="125"/>
      <c r="AE4" s="125"/>
    </row>
    <row r="5" spans="1:31" ht="32.1" customHeight="1" x14ac:dyDescent="0.25">
      <c r="A5" s="115"/>
      <c r="B5" s="115"/>
      <c r="C5" s="115"/>
      <c r="D5" s="115"/>
      <c r="E5" s="115"/>
      <c r="F5" s="115"/>
      <c r="G5" s="115"/>
      <c r="H5" s="115"/>
      <c r="I5" s="115"/>
      <c r="J5" s="115"/>
      <c r="K5" s="115"/>
      <c r="M5" s="115"/>
      <c r="N5" s="115"/>
      <c r="O5" s="115"/>
      <c r="P5" s="115"/>
      <c r="Q5" s="115"/>
      <c r="R5" s="115"/>
      <c r="S5" s="115"/>
      <c r="T5" s="115"/>
      <c r="U5" s="115"/>
      <c r="V5" s="115"/>
      <c r="W5" s="115"/>
      <c r="Y5" s="125"/>
      <c r="Z5" s="125"/>
      <c r="AA5" s="125"/>
      <c r="AB5" s="125"/>
      <c r="AC5" s="125"/>
      <c r="AD5" s="125"/>
      <c r="AE5" s="125"/>
    </row>
    <row r="6" spans="1:31" ht="32.1" customHeight="1" x14ac:dyDescent="0.25">
      <c r="A6" s="115"/>
      <c r="B6" s="115"/>
      <c r="C6" s="115"/>
      <c r="D6" s="115"/>
      <c r="E6" s="115"/>
      <c r="F6" s="115"/>
      <c r="G6" s="115"/>
      <c r="H6" s="115"/>
      <c r="I6" s="115"/>
      <c r="J6" s="115"/>
      <c r="K6" s="115"/>
      <c r="M6" s="115"/>
      <c r="N6" s="115"/>
      <c r="O6" s="115"/>
      <c r="P6" s="115"/>
      <c r="Q6" s="115"/>
      <c r="R6" s="115"/>
      <c r="S6" s="115"/>
      <c r="T6" s="115"/>
      <c r="U6" s="115"/>
      <c r="V6" s="115"/>
      <c r="W6" s="115"/>
      <c r="Y6" s="125"/>
      <c r="Z6" s="125"/>
      <c r="AA6" s="125"/>
      <c r="AB6" s="125"/>
      <c r="AC6" s="125"/>
      <c r="AD6" s="125"/>
      <c r="AE6" s="125"/>
    </row>
    <row r="7" spans="1:31" ht="32.1" customHeight="1" x14ac:dyDescent="0.25">
      <c r="A7" s="115"/>
      <c r="B7" s="115"/>
      <c r="C7" s="115"/>
      <c r="D7" s="115"/>
      <c r="E7" s="115"/>
      <c r="F7" s="115"/>
      <c r="G7" s="115"/>
      <c r="H7" s="115"/>
      <c r="I7" s="115"/>
      <c r="J7" s="115"/>
      <c r="K7" s="115"/>
      <c r="M7" s="115"/>
      <c r="N7" s="115"/>
      <c r="O7" s="115"/>
      <c r="P7" s="115"/>
      <c r="Q7" s="115"/>
      <c r="R7" s="115"/>
      <c r="S7" s="115"/>
      <c r="T7" s="115"/>
      <c r="U7" s="115"/>
      <c r="V7" s="115"/>
      <c r="W7" s="115"/>
      <c r="Y7" s="125"/>
      <c r="Z7" s="125"/>
      <c r="AA7" s="125"/>
      <c r="AB7" s="125"/>
      <c r="AC7" s="125"/>
      <c r="AD7" s="125"/>
      <c r="AE7" s="125"/>
    </row>
    <row r="8" spans="1:31" ht="32.1" customHeight="1" x14ac:dyDescent="0.25">
      <c r="A8" s="115"/>
      <c r="B8" s="115"/>
      <c r="C8" s="115"/>
      <c r="D8" s="115"/>
      <c r="E8" s="115"/>
      <c r="F8" s="115"/>
      <c r="G8" s="115"/>
      <c r="H8" s="115"/>
      <c r="I8" s="115"/>
      <c r="J8" s="115"/>
      <c r="K8" s="115"/>
      <c r="M8" s="115"/>
      <c r="N8" s="115"/>
      <c r="O8" s="115"/>
      <c r="P8" s="115"/>
      <c r="Q8" s="115"/>
      <c r="R8" s="115"/>
      <c r="S8" s="115"/>
      <c r="T8" s="115"/>
      <c r="U8" s="115"/>
      <c r="V8" s="115"/>
      <c r="W8" s="115"/>
      <c r="Y8" s="125"/>
      <c r="Z8" s="125"/>
      <c r="AA8" s="125"/>
      <c r="AB8" s="125"/>
      <c r="AC8" s="125"/>
      <c r="AD8" s="125"/>
      <c r="AE8" s="125"/>
    </row>
    <row r="9" spans="1:31" ht="32.1" customHeight="1" x14ac:dyDescent="0.25">
      <c r="A9" s="115"/>
      <c r="B9" s="115"/>
      <c r="C9" s="115"/>
      <c r="D9" s="115"/>
      <c r="E9" s="115"/>
      <c r="F9" s="115"/>
      <c r="G9" s="115"/>
      <c r="H9" s="115"/>
      <c r="I9" s="115"/>
      <c r="J9" s="115"/>
      <c r="K9" s="115"/>
      <c r="M9" s="115"/>
      <c r="N9" s="115"/>
      <c r="O9" s="115"/>
      <c r="P9" s="115"/>
      <c r="Q9" s="115"/>
      <c r="R9" s="115"/>
      <c r="S9" s="115"/>
      <c r="T9" s="115"/>
      <c r="U9" s="115"/>
      <c r="V9" s="115"/>
      <c r="W9" s="115"/>
      <c r="Y9" s="125"/>
      <c r="Z9" s="125"/>
      <c r="AA9" s="125"/>
      <c r="AB9" s="125"/>
      <c r="AC9" s="125"/>
      <c r="AD9" s="125"/>
      <c r="AE9" s="125"/>
    </row>
    <row r="10" spans="1:31" ht="32.1" customHeight="1" x14ac:dyDescent="0.25">
      <c r="A10" s="115"/>
      <c r="B10" s="115"/>
      <c r="C10" s="115"/>
      <c r="D10" s="115"/>
      <c r="E10" s="115"/>
      <c r="F10" s="115"/>
      <c r="G10" s="115"/>
      <c r="H10" s="115"/>
      <c r="I10" s="115"/>
      <c r="J10" s="115"/>
      <c r="K10" s="115"/>
      <c r="M10" s="115"/>
      <c r="N10" s="115"/>
      <c r="O10" s="115"/>
      <c r="P10" s="115"/>
      <c r="Q10" s="115"/>
      <c r="R10" s="115"/>
      <c r="S10" s="115"/>
      <c r="T10" s="115"/>
      <c r="U10" s="115"/>
      <c r="V10" s="115"/>
      <c r="W10" s="115"/>
      <c r="Y10" s="125"/>
      <c r="Z10" s="125"/>
      <c r="AA10" s="125"/>
      <c r="AB10" s="125"/>
      <c r="AC10" s="125"/>
      <c r="AD10" s="125"/>
      <c r="AE10" s="125"/>
    </row>
    <row r="11" spans="1:31" ht="32.1" customHeight="1" x14ac:dyDescent="0.25">
      <c r="A11" s="115"/>
      <c r="B11" s="115"/>
      <c r="C11" s="115"/>
      <c r="D11" s="115"/>
      <c r="E11" s="115"/>
      <c r="F11" s="115"/>
      <c r="G11" s="115"/>
      <c r="H11" s="115"/>
      <c r="I11" s="115"/>
      <c r="J11" s="115"/>
      <c r="K11" s="115"/>
      <c r="M11" s="115"/>
      <c r="N11" s="115"/>
      <c r="O11" s="115"/>
      <c r="P11" s="115"/>
      <c r="Q11" s="115"/>
      <c r="R11" s="115"/>
      <c r="S11" s="115"/>
      <c r="T11" s="115"/>
      <c r="U11" s="115"/>
      <c r="V11" s="115"/>
      <c r="W11" s="115"/>
      <c r="Y11" s="125"/>
      <c r="Z11" s="125"/>
      <c r="AA11" s="125"/>
      <c r="AB11" s="125"/>
      <c r="AC11" s="125"/>
      <c r="AD11" s="125"/>
      <c r="AE11" s="125"/>
    </row>
    <row r="12" spans="1:31" ht="32.1" customHeight="1" x14ac:dyDescent="0.25">
      <c r="A12" s="115"/>
      <c r="B12" s="115"/>
      <c r="C12" s="115"/>
      <c r="D12" s="115"/>
      <c r="E12" s="115"/>
      <c r="F12" s="115"/>
      <c r="G12" s="115"/>
      <c r="H12" s="115"/>
      <c r="I12" s="115"/>
      <c r="J12" s="115"/>
      <c r="K12" s="115"/>
      <c r="M12" s="115"/>
      <c r="N12" s="115"/>
      <c r="O12" s="115"/>
      <c r="P12" s="115"/>
      <c r="Q12" s="115"/>
      <c r="R12" s="115"/>
      <c r="S12" s="115"/>
      <c r="T12" s="115"/>
      <c r="U12" s="115"/>
      <c r="V12" s="115"/>
      <c r="W12" s="115"/>
      <c r="Y12" s="125"/>
      <c r="Z12" s="125"/>
      <c r="AA12" s="125"/>
      <c r="AB12" s="125"/>
      <c r="AC12" s="125"/>
      <c r="AD12" s="125"/>
      <c r="AE12" s="125"/>
    </row>
    <row r="13" spans="1:31" ht="32.1" customHeight="1" x14ac:dyDescent="0.25">
      <c r="A13" s="115"/>
      <c r="B13" s="115"/>
      <c r="C13" s="115"/>
      <c r="D13" s="115"/>
      <c r="E13" s="115"/>
      <c r="F13" s="115"/>
      <c r="G13" s="115"/>
      <c r="H13" s="115"/>
      <c r="I13" s="115"/>
      <c r="J13" s="115"/>
      <c r="K13" s="115"/>
      <c r="M13" s="115"/>
      <c r="N13" s="115"/>
      <c r="O13" s="115"/>
      <c r="P13" s="115"/>
      <c r="Q13" s="115"/>
      <c r="R13" s="115"/>
      <c r="S13" s="115"/>
      <c r="T13" s="115"/>
      <c r="U13" s="115"/>
      <c r="V13" s="115"/>
      <c r="W13" s="115"/>
      <c r="Y13" s="125"/>
      <c r="Z13" s="125"/>
      <c r="AA13" s="125"/>
      <c r="AB13" s="125"/>
      <c r="AC13" s="125"/>
      <c r="AD13" s="125"/>
      <c r="AE13" s="125"/>
    </row>
    <row r="14" spans="1:31" ht="32.1" customHeight="1" x14ac:dyDescent="0.25">
      <c r="A14" s="115"/>
      <c r="B14" s="115"/>
      <c r="C14" s="115"/>
      <c r="D14" s="115"/>
      <c r="E14" s="115"/>
      <c r="F14" s="115"/>
      <c r="G14" s="115"/>
      <c r="H14" s="115"/>
      <c r="I14" s="115"/>
      <c r="J14" s="115"/>
      <c r="K14" s="115"/>
      <c r="M14" s="115"/>
      <c r="N14" s="115"/>
      <c r="O14" s="115"/>
      <c r="P14" s="115"/>
      <c r="Q14" s="115"/>
      <c r="R14" s="115"/>
      <c r="S14" s="115"/>
      <c r="T14" s="115"/>
      <c r="U14" s="115"/>
      <c r="V14" s="115"/>
      <c r="W14" s="115"/>
      <c r="Y14" s="125"/>
      <c r="Z14" s="125"/>
      <c r="AA14" s="125"/>
      <c r="AB14" s="125"/>
      <c r="AC14" s="125"/>
      <c r="AD14" s="125"/>
      <c r="AE14" s="125"/>
    </row>
    <row r="15" spans="1:31" ht="32.1" customHeight="1" x14ac:dyDescent="0.25">
      <c r="A15" s="115"/>
      <c r="B15" s="115"/>
      <c r="C15" s="115"/>
      <c r="D15" s="115"/>
      <c r="E15" s="115"/>
      <c r="F15" s="115"/>
      <c r="G15" s="115"/>
      <c r="H15" s="115"/>
      <c r="I15" s="115"/>
      <c r="J15" s="115"/>
      <c r="K15" s="115"/>
      <c r="M15" s="115"/>
      <c r="N15" s="115"/>
      <c r="O15" s="115"/>
      <c r="P15" s="115"/>
      <c r="Q15" s="115"/>
      <c r="R15" s="115"/>
      <c r="S15" s="115"/>
      <c r="T15" s="115"/>
      <c r="U15" s="115"/>
      <c r="V15" s="115"/>
      <c r="W15" s="115"/>
      <c r="Y15" s="125"/>
      <c r="Z15" s="125"/>
      <c r="AA15" s="125"/>
      <c r="AB15" s="125"/>
      <c r="AC15" s="125"/>
      <c r="AD15" s="125"/>
      <c r="AE15" s="125"/>
    </row>
    <row r="16" spans="1:31" ht="32.1" customHeight="1" x14ac:dyDescent="0.25">
      <c r="A16" s="115"/>
      <c r="B16" s="115"/>
      <c r="C16" s="115"/>
      <c r="D16" s="115"/>
      <c r="E16" s="115"/>
      <c r="F16" s="115"/>
      <c r="G16" s="115"/>
      <c r="H16" s="115"/>
      <c r="I16" s="115"/>
      <c r="J16" s="115"/>
      <c r="K16" s="115"/>
      <c r="M16" s="115"/>
      <c r="N16" s="115"/>
      <c r="O16" s="115"/>
      <c r="P16" s="115"/>
      <c r="Q16" s="115"/>
      <c r="R16" s="115"/>
      <c r="S16" s="115"/>
      <c r="T16" s="115"/>
      <c r="U16" s="115"/>
      <c r="V16" s="115"/>
      <c r="W16" s="115"/>
      <c r="Y16" s="125"/>
      <c r="Z16" s="125"/>
      <c r="AA16" s="125"/>
      <c r="AB16" s="125"/>
      <c r="AC16" s="125"/>
      <c r="AD16" s="125"/>
      <c r="AE16" s="125"/>
    </row>
    <row r="17" spans="1:31" ht="32.1" customHeight="1" x14ac:dyDescent="0.25">
      <c r="A17" s="115"/>
      <c r="B17" s="115"/>
      <c r="C17" s="115"/>
      <c r="D17" s="115"/>
      <c r="E17" s="115"/>
      <c r="F17" s="115"/>
      <c r="G17" s="115"/>
      <c r="H17" s="115"/>
      <c r="I17" s="115"/>
      <c r="J17" s="115"/>
      <c r="K17" s="115"/>
      <c r="M17" s="115"/>
      <c r="N17" s="115"/>
      <c r="O17" s="115"/>
      <c r="P17" s="115"/>
      <c r="Q17" s="115"/>
      <c r="R17" s="115"/>
      <c r="S17" s="115"/>
      <c r="T17" s="115"/>
      <c r="U17" s="115"/>
      <c r="V17" s="115"/>
      <c r="W17" s="115"/>
      <c r="Y17" s="125"/>
      <c r="Z17" s="125"/>
      <c r="AA17" s="125"/>
      <c r="AB17" s="125"/>
      <c r="AC17" s="125"/>
      <c r="AD17" s="125"/>
      <c r="AE17" s="125"/>
    </row>
    <row r="18" spans="1:31" ht="32.1" customHeight="1" x14ac:dyDescent="0.25">
      <c r="A18" s="115"/>
      <c r="B18" s="115"/>
      <c r="C18" s="115"/>
      <c r="D18" s="115"/>
      <c r="E18" s="115"/>
      <c r="F18" s="115"/>
      <c r="G18" s="115"/>
      <c r="H18" s="115"/>
      <c r="I18" s="115"/>
      <c r="J18" s="115"/>
      <c r="K18" s="115"/>
      <c r="M18" s="115"/>
      <c r="N18" s="115"/>
      <c r="O18" s="115"/>
      <c r="P18" s="115"/>
      <c r="Q18" s="115"/>
      <c r="R18" s="115"/>
      <c r="S18" s="115"/>
      <c r="T18" s="115"/>
      <c r="U18" s="115"/>
      <c r="V18" s="115"/>
      <c r="W18" s="115"/>
      <c r="Y18" s="125"/>
      <c r="Z18" s="125"/>
      <c r="AA18" s="125"/>
      <c r="AB18" s="125"/>
      <c r="AC18" s="125"/>
      <c r="AD18" s="125"/>
      <c r="AE18" s="125"/>
    </row>
    <row r="19" spans="1:31" ht="32.1" customHeight="1" x14ac:dyDescent="0.25">
      <c r="A19" s="115"/>
      <c r="B19" s="115"/>
      <c r="C19" s="115"/>
      <c r="D19" s="115"/>
      <c r="E19" s="115"/>
      <c r="F19" s="115"/>
      <c r="G19" s="115"/>
      <c r="H19" s="115"/>
      <c r="I19" s="115"/>
      <c r="J19" s="115"/>
      <c r="K19" s="115"/>
      <c r="M19" s="115"/>
      <c r="N19" s="115"/>
      <c r="O19" s="115"/>
      <c r="P19" s="115"/>
      <c r="Q19" s="115"/>
      <c r="R19" s="115"/>
      <c r="S19" s="115"/>
      <c r="T19" s="115"/>
      <c r="U19" s="115"/>
      <c r="V19" s="115"/>
      <c r="W19" s="115"/>
      <c r="Y19" s="125"/>
      <c r="Z19" s="125"/>
      <c r="AA19" s="125"/>
      <c r="AB19" s="125"/>
      <c r="AC19" s="125"/>
      <c r="AD19" s="125"/>
      <c r="AE19" s="125"/>
    </row>
    <row r="20" spans="1:31" ht="32.1" customHeight="1" x14ac:dyDescent="0.25">
      <c r="A20" s="115"/>
      <c r="B20" s="115"/>
      <c r="C20" s="115"/>
      <c r="D20" s="115"/>
      <c r="E20" s="115"/>
      <c r="F20" s="115"/>
      <c r="G20" s="115"/>
      <c r="H20" s="115"/>
      <c r="I20" s="115"/>
      <c r="J20" s="115"/>
      <c r="K20" s="115"/>
      <c r="M20" s="115"/>
      <c r="N20" s="115"/>
      <c r="O20" s="115"/>
      <c r="P20" s="115"/>
      <c r="Q20" s="115"/>
      <c r="R20" s="115"/>
      <c r="S20" s="115"/>
      <c r="T20" s="115"/>
      <c r="U20" s="115"/>
      <c r="V20" s="115"/>
      <c r="W20" s="115"/>
      <c r="Y20" s="125"/>
      <c r="Z20" s="125"/>
      <c r="AA20" s="125"/>
      <c r="AB20" s="125"/>
      <c r="AC20" s="125"/>
      <c r="AD20" s="125"/>
      <c r="AE20" s="125"/>
    </row>
    <row r="21" spans="1:31" ht="32.1" customHeight="1" x14ac:dyDescent="0.25">
      <c r="A21" s="115"/>
      <c r="B21" s="115"/>
      <c r="C21" s="115"/>
      <c r="D21" s="115"/>
      <c r="E21" s="115"/>
      <c r="F21" s="115"/>
      <c r="G21" s="115"/>
      <c r="H21" s="115"/>
      <c r="I21" s="115"/>
      <c r="J21" s="115"/>
      <c r="K21" s="115"/>
      <c r="M21" s="115"/>
      <c r="N21" s="115"/>
      <c r="O21" s="115"/>
      <c r="P21" s="115"/>
      <c r="Q21" s="115"/>
      <c r="R21" s="115"/>
      <c r="S21" s="115"/>
      <c r="T21" s="115"/>
      <c r="U21" s="115"/>
      <c r="V21" s="115"/>
      <c r="W21" s="115"/>
      <c r="Y21" s="125"/>
      <c r="Z21" s="125"/>
      <c r="AA21" s="125"/>
      <c r="AB21" s="125"/>
      <c r="AC21" s="125"/>
      <c r="AD21" s="125"/>
      <c r="AE21" s="125"/>
    </row>
    <row r="22" spans="1:31" ht="32.1" customHeight="1" x14ac:dyDescent="0.25">
      <c r="A22" s="115"/>
      <c r="B22" s="115"/>
      <c r="C22" s="115"/>
      <c r="D22" s="115"/>
      <c r="E22" s="115"/>
      <c r="F22" s="115"/>
      <c r="G22" s="115"/>
      <c r="H22" s="115"/>
      <c r="I22" s="115"/>
      <c r="J22" s="115"/>
      <c r="K22" s="115"/>
      <c r="M22" s="115"/>
      <c r="N22" s="115"/>
      <c r="O22" s="115"/>
      <c r="P22" s="115"/>
      <c r="Q22" s="115"/>
      <c r="R22" s="115"/>
      <c r="S22" s="115"/>
      <c r="T22" s="115"/>
      <c r="U22" s="115"/>
      <c r="V22" s="115"/>
      <c r="W22" s="115"/>
      <c r="Y22" s="125"/>
      <c r="Z22" s="125"/>
      <c r="AA22" s="125"/>
      <c r="AB22" s="125"/>
      <c r="AC22" s="125"/>
      <c r="AD22" s="125"/>
      <c r="AE22" s="125"/>
    </row>
    <row r="23" spans="1:31" ht="32.1" customHeight="1" x14ac:dyDescent="0.25">
      <c r="A23" s="115"/>
      <c r="B23" s="115"/>
      <c r="C23" s="115"/>
      <c r="D23" s="115"/>
      <c r="E23" s="115"/>
      <c r="F23" s="115"/>
      <c r="G23" s="115"/>
      <c r="H23" s="115"/>
      <c r="I23" s="115"/>
      <c r="J23" s="115"/>
      <c r="K23" s="115"/>
      <c r="M23" s="115"/>
      <c r="N23" s="115"/>
      <c r="O23" s="115"/>
      <c r="P23" s="115"/>
      <c r="Q23" s="115"/>
      <c r="R23" s="115"/>
      <c r="S23" s="115"/>
      <c r="T23" s="115"/>
      <c r="U23" s="115"/>
      <c r="V23" s="115"/>
      <c r="W23" s="115"/>
      <c r="Y23" s="125"/>
      <c r="Z23" s="125"/>
      <c r="AA23" s="125"/>
      <c r="AB23" s="125"/>
      <c r="AC23" s="125"/>
      <c r="AD23" s="125"/>
      <c r="AE23" s="125"/>
    </row>
    <row r="24" spans="1:31" ht="32.1" customHeight="1" x14ac:dyDescent="0.25">
      <c r="A24" s="115"/>
      <c r="B24" s="115"/>
      <c r="C24" s="115"/>
      <c r="D24" s="115"/>
      <c r="E24" s="115"/>
      <c r="F24" s="115"/>
      <c r="G24" s="115"/>
      <c r="H24" s="115"/>
      <c r="I24" s="115"/>
      <c r="J24" s="115"/>
      <c r="K24" s="115"/>
      <c r="M24" s="115"/>
      <c r="N24" s="115"/>
      <c r="O24" s="115"/>
      <c r="P24" s="115"/>
      <c r="Q24" s="115"/>
      <c r="R24" s="115"/>
      <c r="S24" s="115"/>
      <c r="T24" s="115"/>
      <c r="U24" s="115"/>
      <c r="V24" s="115"/>
      <c r="W24" s="115"/>
      <c r="Y24" s="125"/>
      <c r="Z24" s="125"/>
      <c r="AA24" s="125"/>
      <c r="AB24" s="125"/>
      <c r="AC24" s="125"/>
      <c r="AD24" s="125"/>
      <c r="AE24" s="125"/>
    </row>
    <row r="25" spans="1:31" ht="32.1" customHeight="1" x14ac:dyDescent="0.25">
      <c r="A25" s="115"/>
      <c r="B25" s="115"/>
      <c r="C25" s="115"/>
      <c r="D25" s="115"/>
      <c r="E25" s="115"/>
      <c r="F25" s="115"/>
      <c r="G25" s="115"/>
      <c r="H25" s="115"/>
      <c r="I25" s="115"/>
      <c r="J25" s="115"/>
      <c r="K25" s="115"/>
      <c r="M25" s="115"/>
      <c r="N25" s="115"/>
      <c r="O25" s="115"/>
      <c r="P25" s="115"/>
      <c r="Q25" s="115"/>
      <c r="R25" s="115"/>
      <c r="S25" s="115"/>
      <c r="T25" s="115"/>
      <c r="U25" s="115"/>
      <c r="V25" s="115"/>
      <c r="W25" s="115"/>
      <c r="Y25" s="125"/>
      <c r="Z25" s="125"/>
      <c r="AA25" s="125"/>
      <c r="AB25" s="125"/>
      <c r="AC25" s="125"/>
      <c r="AD25" s="125"/>
      <c r="AE25" s="125"/>
    </row>
    <row r="26" spans="1:31" ht="32.1" customHeight="1" x14ac:dyDescent="0.25">
      <c r="A26" s="115"/>
      <c r="B26" s="115"/>
      <c r="C26" s="115"/>
      <c r="D26" s="115"/>
      <c r="E26" s="115"/>
      <c r="F26" s="115"/>
      <c r="G26" s="115"/>
      <c r="H26" s="115"/>
      <c r="I26" s="115"/>
      <c r="J26" s="115"/>
      <c r="K26" s="115"/>
      <c r="M26" s="115"/>
      <c r="N26" s="115"/>
      <c r="O26" s="115"/>
      <c r="P26" s="115"/>
      <c r="Q26" s="115"/>
      <c r="R26" s="115"/>
      <c r="S26" s="115"/>
      <c r="T26" s="115"/>
      <c r="U26" s="115"/>
      <c r="V26" s="115"/>
      <c r="W26" s="115"/>
      <c r="Y26" s="125"/>
      <c r="Z26" s="125"/>
      <c r="AA26" s="125"/>
      <c r="AB26" s="125"/>
      <c r="AC26" s="125"/>
      <c r="AD26" s="125"/>
      <c r="AE26" s="125"/>
    </row>
    <row r="27" spans="1:31" ht="32.1" customHeight="1" x14ac:dyDescent="0.25">
      <c r="A27" s="115"/>
      <c r="B27" s="115"/>
      <c r="C27" s="115"/>
      <c r="D27" s="115"/>
      <c r="E27" s="115"/>
      <c r="F27" s="115"/>
      <c r="G27" s="115"/>
      <c r="H27" s="115"/>
      <c r="I27" s="115"/>
      <c r="J27" s="115"/>
      <c r="K27" s="115"/>
      <c r="M27" s="115"/>
      <c r="N27" s="115"/>
      <c r="O27" s="115"/>
      <c r="P27" s="115"/>
      <c r="Q27" s="115"/>
      <c r="R27" s="115"/>
      <c r="S27" s="115"/>
      <c r="T27" s="115"/>
      <c r="U27" s="115"/>
      <c r="V27" s="115"/>
      <c r="W27" s="115"/>
      <c r="Y27" s="125"/>
      <c r="Z27" s="125"/>
      <c r="AA27" s="125"/>
      <c r="AB27" s="125"/>
      <c r="AC27" s="125"/>
      <c r="AD27" s="125"/>
      <c r="AE27" s="125"/>
    </row>
    <row r="28" spans="1:31" x14ac:dyDescent="0.25">
      <c r="A28" s="116" t="s">
        <v>135</v>
      </c>
      <c r="B28" s="116"/>
      <c r="C28" s="116"/>
      <c r="D28" s="116"/>
      <c r="E28" s="116"/>
      <c r="F28" s="116"/>
      <c r="G28" s="116"/>
      <c r="H28" s="116"/>
      <c r="I28" s="116"/>
      <c r="J28" s="116"/>
      <c r="K28" s="117" t="str">
        <f>IF(COUNTIF(K30:K46, "="&amp;IncompleteText), IncompleteText, IF(COUNTIF(K30:K46, "="&amp;ErrorText), ErrorText, OKText))</f>
        <v>BLANK</v>
      </c>
      <c r="M28" s="116" t="s">
        <v>151</v>
      </c>
      <c r="N28" s="116"/>
      <c r="O28" s="116"/>
      <c r="P28" s="116"/>
      <c r="Q28" s="116"/>
      <c r="R28" s="116"/>
      <c r="S28" s="116"/>
      <c r="T28" s="116"/>
      <c r="U28" s="116"/>
      <c r="V28" s="116"/>
      <c r="W28" s="117" t="str">
        <f>IF(COUNTIF(W30:W43, "="&amp;IncompleteText), IncompleteText, IF(COUNTIF(W30:W43, "="&amp;ErrorText), ErrorText, OKText))</f>
        <v>BLANK</v>
      </c>
    </row>
    <row r="29" spans="1:31" x14ac:dyDescent="0.25">
      <c r="A29" s="118" t="s">
        <v>232</v>
      </c>
      <c r="B29" s="119"/>
      <c r="C29" s="10"/>
      <c r="D29" s="10"/>
      <c r="E29" s="10"/>
      <c r="F29" s="10"/>
      <c r="G29" s="10"/>
      <c r="H29" s="10"/>
      <c r="I29" s="10"/>
      <c r="J29" s="10"/>
      <c r="K29" s="96"/>
      <c r="M29" s="118" t="s">
        <v>232</v>
      </c>
      <c r="N29" s="119"/>
      <c r="O29" s="10"/>
      <c r="P29" s="10"/>
      <c r="Q29" s="10"/>
      <c r="R29" s="10"/>
      <c r="S29" s="10"/>
      <c r="T29" s="10"/>
      <c r="U29" s="10"/>
      <c r="V29" s="10"/>
      <c r="W29" s="96"/>
    </row>
    <row r="30" spans="1:31" x14ac:dyDescent="0.25">
      <c r="A30" s="120"/>
      <c r="B30" s="120"/>
      <c r="C30" s="106" t="s">
        <v>136</v>
      </c>
      <c r="D30" s="106"/>
      <c r="E30" s="106"/>
      <c r="F30" s="106"/>
      <c r="G30" s="106"/>
      <c r="H30" s="106"/>
      <c r="I30" s="109"/>
      <c r="J30" s="5"/>
      <c r="K30" s="49" t="str">
        <f t="shared" ref="K30:K42" si="0">IF(ISBLANK(J30),IncompleteText, IF(J30, OKText, ErrorText))</f>
        <v>BLANK</v>
      </c>
      <c r="M30" s="120"/>
      <c r="N30" s="120"/>
      <c r="O30" s="106" t="s">
        <v>152</v>
      </c>
      <c r="P30" s="106"/>
      <c r="Q30" s="106"/>
      <c r="R30" s="106"/>
      <c r="S30" s="106"/>
      <c r="T30" s="106"/>
      <c r="U30" s="109"/>
      <c r="V30" s="5"/>
      <c r="W30" s="49" t="str">
        <f t="shared" ref="W30:W40" si="1">IF(ISBLANK(V30),IncompleteText, IF(V30, OKText, ErrorText))</f>
        <v>BLANK</v>
      </c>
    </row>
    <row r="31" spans="1:31" x14ac:dyDescent="0.25">
      <c r="A31" s="121"/>
      <c r="B31" s="121"/>
      <c r="C31" s="106" t="s">
        <v>137</v>
      </c>
      <c r="D31" s="106"/>
      <c r="E31" s="106"/>
      <c r="F31" s="106"/>
      <c r="G31" s="106"/>
      <c r="H31" s="106"/>
      <c r="I31" s="109"/>
      <c r="J31" s="5"/>
      <c r="K31" s="49" t="str">
        <f t="shared" si="0"/>
        <v>BLANK</v>
      </c>
      <c r="M31" s="121"/>
      <c r="N31" s="121"/>
      <c r="O31" s="106" t="s">
        <v>153</v>
      </c>
      <c r="P31" s="106"/>
      <c r="Q31" s="106"/>
      <c r="R31" s="106"/>
      <c r="S31" s="106"/>
      <c r="T31" s="106"/>
      <c r="U31" s="109"/>
      <c r="V31" s="5"/>
      <c r="W31" s="49" t="str">
        <f t="shared" si="1"/>
        <v>BLANK</v>
      </c>
    </row>
    <row r="32" spans="1:31" x14ac:dyDescent="0.25">
      <c r="A32" s="121" t="s">
        <v>490</v>
      </c>
      <c r="B32" s="121"/>
      <c r="C32" s="106" t="s">
        <v>138</v>
      </c>
      <c r="D32" s="106"/>
      <c r="E32" s="106"/>
      <c r="F32" s="106"/>
      <c r="G32" s="106"/>
      <c r="H32" s="106"/>
      <c r="I32" s="109"/>
      <c r="J32" s="5"/>
      <c r="K32" s="49" t="str">
        <f t="shared" si="0"/>
        <v>BLANK</v>
      </c>
      <c r="M32" s="121"/>
      <c r="N32" s="121"/>
      <c r="O32" s="106" t="s">
        <v>444</v>
      </c>
      <c r="P32" s="106"/>
      <c r="Q32" s="106"/>
      <c r="R32" s="106"/>
      <c r="S32" s="106"/>
      <c r="T32" s="106"/>
      <c r="U32" s="109"/>
      <c r="V32" s="5"/>
      <c r="W32" s="49" t="str">
        <f t="shared" si="1"/>
        <v>BLANK</v>
      </c>
    </row>
    <row r="33" spans="1:23" x14ac:dyDescent="0.25">
      <c r="A33" s="121"/>
      <c r="B33" s="121"/>
      <c r="C33" s="106" t="s">
        <v>468</v>
      </c>
      <c r="D33" s="106"/>
      <c r="E33" s="106"/>
      <c r="F33" s="106"/>
      <c r="G33" s="106"/>
      <c r="H33" s="106"/>
      <c r="I33" s="109"/>
      <c r="J33" s="5"/>
      <c r="K33" s="49" t="str">
        <f t="shared" si="0"/>
        <v>BLANK</v>
      </c>
      <c r="M33" s="121"/>
      <c r="N33" s="121"/>
      <c r="O33" s="126" t="s">
        <v>154</v>
      </c>
      <c r="P33" s="106"/>
      <c r="Q33" s="106"/>
      <c r="R33" s="106"/>
      <c r="S33" s="106"/>
      <c r="T33" s="106"/>
      <c r="U33" s="109"/>
      <c r="V33" s="5"/>
      <c r="W33" s="49" t="str">
        <f t="shared" si="1"/>
        <v>BLANK</v>
      </c>
    </row>
    <row r="34" spans="1:23" x14ac:dyDescent="0.25">
      <c r="A34" s="121"/>
      <c r="B34" s="121"/>
      <c r="C34" s="106" t="s">
        <v>139</v>
      </c>
      <c r="D34" s="106"/>
      <c r="E34" s="106"/>
      <c r="F34" s="106"/>
      <c r="G34" s="106"/>
      <c r="H34" s="106"/>
      <c r="I34" s="109"/>
      <c r="J34" s="5"/>
      <c r="K34" s="49" t="str">
        <f t="shared" si="0"/>
        <v>BLANK</v>
      </c>
      <c r="M34" s="121"/>
      <c r="N34" s="121"/>
      <c r="O34" s="106" t="s">
        <v>155</v>
      </c>
      <c r="P34" s="106"/>
      <c r="Q34" s="106"/>
      <c r="R34" s="106"/>
      <c r="S34" s="106"/>
      <c r="T34" s="106"/>
      <c r="U34" s="109"/>
      <c r="V34" s="5"/>
      <c r="W34" s="49" t="str">
        <f t="shared" si="1"/>
        <v>BLANK</v>
      </c>
    </row>
    <row r="35" spans="1:23" x14ac:dyDescent="0.25">
      <c r="A35" s="121" t="s">
        <v>491</v>
      </c>
      <c r="B35" s="121"/>
      <c r="C35" s="106" t="s">
        <v>140</v>
      </c>
      <c r="D35" s="106"/>
      <c r="E35" s="106"/>
      <c r="F35" s="106"/>
      <c r="G35" s="106"/>
      <c r="H35" s="106"/>
      <c r="I35" s="109"/>
      <c r="J35" s="5"/>
      <c r="K35" s="49" t="str">
        <f t="shared" si="0"/>
        <v>BLANK</v>
      </c>
      <c r="M35" s="121"/>
      <c r="N35" s="121"/>
      <c r="O35" s="106" t="s">
        <v>141</v>
      </c>
      <c r="P35" s="106"/>
      <c r="Q35" s="106"/>
      <c r="R35" s="106"/>
      <c r="S35" s="106"/>
      <c r="T35" s="106"/>
      <c r="U35" s="109"/>
      <c r="V35" s="5"/>
      <c r="W35" s="49" t="str">
        <f t="shared" si="1"/>
        <v>BLANK</v>
      </c>
    </row>
    <row r="36" spans="1:23" x14ac:dyDescent="0.25">
      <c r="A36" s="121"/>
      <c r="B36" s="121"/>
      <c r="C36" s="106" t="s">
        <v>141</v>
      </c>
      <c r="D36" s="106"/>
      <c r="E36" s="106"/>
      <c r="F36" s="106"/>
      <c r="G36" s="106"/>
      <c r="H36" s="106"/>
      <c r="I36" s="109"/>
      <c r="J36" s="5"/>
      <c r="K36" s="49" t="str">
        <f t="shared" si="0"/>
        <v>BLANK</v>
      </c>
      <c r="M36" s="121"/>
      <c r="N36" s="121"/>
      <c r="O36" s="106" t="s">
        <v>142</v>
      </c>
      <c r="P36" s="106"/>
      <c r="Q36" s="106"/>
      <c r="R36" s="106"/>
      <c r="S36" s="106"/>
      <c r="T36" s="106"/>
      <c r="U36" s="109"/>
      <c r="V36" s="5"/>
      <c r="W36" s="49" t="str">
        <f t="shared" si="1"/>
        <v>BLANK</v>
      </c>
    </row>
    <row r="37" spans="1:23" x14ac:dyDescent="0.25">
      <c r="A37" s="121"/>
      <c r="B37" s="121"/>
      <c r="C37" s="106" t="s">
        <v>142</v>
      </c>
      <c r="D37" s="106"/>
      <c r="E37" s="106"/>
      <c r="F37" s="106"/>
      <c r="G37" s="106"/>
      <c r="H37" s="106"/>
      <c r="I37" s="109"/>
      <c r="J37" s="5"/>
      <c r="K37" s="49" t="str">
        <f t="shared" si="0"/>
        <v>BLANK</v>
      </c>
      <c r="M37" s="121"/>
      <c r="N37" s="121"/>
      <c r="O37" s="106" t="s">
        <v>143</v>
      </c>
      <c r="P37" s="106"/>
      <c r="Q37" s="106"/>
      <c r="R37" s="106"/>
      <c r="S37" s="106"/>
      <c r="T37" s="106"/>
      <c r="U37" s="109"/>
      <c r="V37" s="5"/>
      <c r="W37" s="49" t="str">
        <f t="shared" si="1"/>
        <v>BLANK</v>
      </c>
    </row>
    <row r="38" spans="1:23" x14ac:dyDescent="0.25">
      <c r="A38" s="121"/>
      <c r="B38" s="121"/>
      <c r="C38" s="106" t="s">
        <v>143</v>
      </c>
      <c r="D38" s="106"/>
      <c r="E38" s="106"/>
      <c r="F38" s="106"/>
      <c r="G38" s="106"/>
      <c r="H38" s="106"/>
      <c r="I38" s="109"/>
      <c r="J38" s="5"/>
      <c r="K38" s="49" t="str">
        <f t="shared" si="0"/>
        <v>BLANK</v>
      </c>
      <c r="M38" s="121" t="s">
        <v>499</v>
      </c>
      <c r="N38" s="121"/>
      <c r="O38" s="106" t="s">
        <v>8</v>
      </c>
      <c r="P38" s="106"/>
      <c r="Q38" s="106"/>
      <c r="R38" s="106"/>
      <c r="S38" s="106"/>
      <c r="T38" s="106"/>
      <c r="U38" s="109"/>
      <c r="V38" s="5"/>
      <c r="W38" s="49" t="str">
        <f t="shared" si="1"/>
        <v>BLANK</v>
      </c>
    </row>
    <row r="39" spans="1:23" x14ac:dyDescent="0.25">
      <c r="A39" s="121" t="s">
        <v>492</v>
      </c>
      <c r="B39" s="121"/>
      <c r="C39" s="106" t="s">
        <v>7</v>
      </c>
      <c r="D39" s="106"/>
      <c r="E39" s="106"/>
      <c r="F39" s="106"/>
      <c r="G39" s="106"/>
      <c r="H39" s="106"/>
      <c r="I39" s="109"/>
      <c r="J39" s="5"/>
      <c r="K39" s="49" t="str">
        <f t="shared" si="0"/>
        <v>BLANK</v>
      </c>
      <c r="M39" s="121" t="s">
        <v>500</v>
      </c>
      <c r="N39" s="121"/>
      <c r="O39" s="106" t="s">
        <v>156</v>
      </c>
      <c r="P39" s="106"/>
      <c r="Q39" s="106"/>
      <c r="R39" s="106"/>
      <c r="S39" s="106"/>
      <c r="T39" s="106"/>
      <c r="U39" s="109"/>
      <c r="V39" s="5"/>
      <c r="W39" s="49" t="str">
        <f t="shared" si="1"/>
        <v>BLANK</v>
      </c>
    </row>
    <row r="40" spans="1:23" x14ac:dyDescent="0.25">
      <c r="A40" s="121"/>
      <c r="B40" s="121"/>
      <c r="C40" s="106" t="s">
        <v>144</v>
      </c>
      <c r="D40" s="106"/>
      <c r="E40" s="106"/>
      <c r="F40" s="106"/>
      <c r="G40" s="106"/>
      <c r="H40" s="106"/>
      <c r="I40" s="109"/>
      <c r="J40" s="5"/>
      <c r="K40" s="49" t="str">
        <f t="shared" si="0"/>
        <v>BLANK</v>
      </c>
      <c r="M40" s="121"/>
      <c r="N40" s="121"/>
      <c r="O40" s="106" t="s">
        <v>157</v>
      </c>
      <c r="P40" s="106"/>
      <c r="Q40" s="106"/>
      <c r="R40" s="106"/>
      <c r="S40" s="106"/>
      <c r="T40" s="106"/>
      <c r="U40" s="109"/>
      <c r="V40" s="5"/>
      <c r="W40" s="49" t="str">
        <f t="shared" si="1"/>
        <v>BLANK</v>
      </c>
    </row>
    <row r="41" spans="1:23" x14ac:dyDescent="0.25">
      <c r="A41" s="121"/>
      <c r="B41" s="121"/>
      <c r="C41" s="106" t="s">
        <v>145</v>
      </c>
      <c r="D41" s="106"/>
      <c r="E41" s="106"/>
      <c r="F41" s="106"/>
      <c r="G41" s="106"/>
      <c r="H41" s="106"/>
      <c r="I41" s="109"/>
      <c r="J41" s="5"/>
      <c r="K41" s="49" t="str">
        <f t="shared" si="0"/>
        <v>BLANK</v>
      </c>
      <c r="M41" s="121" t="s">
        <v>501</v>
      </c>
      <c r="N41" s="121"/>
      <c r="O41" s="106" t="s">
        <v>158</v>
      </c>
      <c r="P41" s="106"/>
      <c r="Q41" s="106"/>
      <c r="R41" s="106"/>
      <c r="S41" s="106"/>
      <c r="T41" s="106"/>
      <c r="U41" s="109"/>
      <c r="V41" s="5"/>
      <c r="W41" s="49" t="str">
        <f t="shared" ref="W41:W42" si="2">IF(ISBLANK(V41),IncompleteText, IF(V41, OKText, ErrorText))</f>
        <v>BLANK</v>
      </c>
    </row>
    <row r="42" spans="1:23" x14ac:dyDescent="0.25">
      <c r="A42" s="121" t="s">
        <v>493</v>
      </c>
      <c r="B42" s="121"/>
      <c r="C42" s="106" t="s">
        <v>146</v>
      </c>
      <c r="D42" s="106"/>
      <c r="E42" s="106"/>
      <c r="F42" s="106"/>
      <c r="G42" s="106"/>
      <c r="H42" s="106"/>
      <c r="I42" s="109"/>
      <c r="J42" s="5"/>
      <c r="K42" s="49" t="str">
        <f t="shared" si="0"/>
        <v>BLANK</v>
      </c>
      <c r="M42" s="121" t="s">
        <v>502</v>
      </c>
      <c r="N42" s="121"/>
      <c r="O42" s="106" t="s">
        <v>159</v>
      </c>
      <c r="P42" s="106"/>
      <c r="Q42" s="106"/>
      <c r="R42" s="106"/>
      <c r="S42" s="106"/>
      <c r="T42" s="106"/>
      <c r="U42" s="109"/>
      <c r="V42" s="5"/>
      <c r="W42" s="49" t="str">
        <f t="shared" si="2"/>
        <v>BLANK</v>
      </c>
    </row>
    <row r="43" spans="1:23" x14ac:dyDescent="0.25">
      <c r="A43" s="121" t="s">
        <v>494</v>
      </c>
      <c r="B43" s="121"/>
      <c r="C43" s="106" t="s">
        <v>147</v>
      </c>
      <c r="D43" s="106"/>
      <c r="E43" s="106"/>
      <c r="F43" s="106"/>
      <c r="G43" s="106"/>
      <c r="H43" s="106"/>
      <c r="I43" s="109"/>
      <c r="J43" s="5"/>
      <c r="K43" s="49" t="str">
        <f t="shared" ref="K43:K44" si="3">IF(ISBLANK(J43),IncompleteText, IF(J43, OKText, ErrorText))</f>
        <v>BLANK</v>
      </c>
      <c r="M43" s="121"/>
      <c r="N43" s="121"/>
      <c r="O43" s="106" t="s">
        <v>160</v>
      </c>
      <c r="P43" s="106"/>
      <c r="Q43" s="106"/>
      <c r="R43" s="106"/>
      <c r="S43" s="106"/>
      <c r="T43" s="106"/>
      <c r="U43" s="109"/>
      <c r="V43" s="5"/>
      <c r="W43" s="49" t="str">
        <f t="shared" ref="W43" si="4">IF(ISBLANK(V43),IncompleteText, IF(V43, OKText, ErrorText))</f>
        <v>BLANK</v>
      </c>
    </row>
    <row r="44" spans="1:23" x14ac:dyDescent="0.25">
      <c r="A44" s="121" t="s">
        <v>495</v>
      </c>
      <c r="B44" s="121"/>
      <c r="C44" s="106" t="s">
        <v>148</v>
      </c>
      <c r="D44" s="106"/>
      <c r="E44" s="106"/>
      <c r="F44" s="106"/>
      <c r="G44" s="106"/>
      <c r="H44" s="106"/>
      <c r="I44" s="109"/>
      <c r="J44" s="5"/>
      <c r="K44" s="49" t="str">
        <f t="shared" si="3"/>
        <v>BLANK</v>
      </c>
    </row>
    <row r="45" spans="1:23" x14ac:dyDescent="0.25">
      <c r="A45" s="121" t="s">
        <v>496</v>
      </c>
      <c r="B45" s="121"/>
      <c r="C45" s="106" t="s">
        <v>149</v>
      </c>
      <c r="D45" s="106"/>
      <c r="E45" s="106"/>
      <c r="F45" s="106"/>
      <c r="G45" s="106"/>
      <c r="H45" s="106"/>
      <c r="I45" s="109"/>
      <c r="J45" s="5"/>
      <c r="K45" s="49" t="str">
        <f t="shared" ref="K45" si="5">IF(ISBLANK(J45),IncompleteText, IF(J45, OKText, ErrorText))</f>
        <v>BLANK</v>
      </c>
    </row>
    <row r="46" spans="1:23" x14ac:dyDescent="0.25">
      <c r="A46" s="121" t="s">
        <v>497</v>
      </c>
      <c r="B46" s="121"/>
      <c r="C46" s="106" t="s">
        <v>10</v>
      </c>
      <c r="D46" s="106"/>
      <c r="E46" s="106"/>
      <c r="F46" s="106"/>
      <c r="G46" s="106"/>
      <c r="H46" s="106"/>
      <c r="I46" s="109"/>
      <c r="J46" s="5"/>
      <c r="K46" s="49" t="str">
        <f t="shared" ref="K46" si="6">IF(ISBLANK(J46),IncompleteText, IF(J46, OKText, ErrorText))</f>
        <v>BLANK</v>
      </c>
    </row>
    <row r="48" spans="1:23" x14ac:dyDescent="0.25">
      <c r="A48" s="116" t="s">
        <v>150</v>
      </c>
      <c r="B48" s="116"/>
      <c r="C48" s="116"/>
      <c r="D48" s="116"/>
      <c r="E48" s="116"/>
      <c r="F48" s="116"/>
      <c r="G48" s="116"/>
      <c r="H48" s="116"/>
      <c r="I48" s="116"/>
      <c r="J48" s="116"/>
      <c r="K48" s="96" t="str">
        <f>IF(COUNTIF(K50:K50, "="&amp;IncompleteText), IncompleteText, IF(COUNTIF(K50:K50, "="&amp;ErrorText), ErrorText, OKText))</f>
        <v>BLANK</v>
      </c>
    </row>
    <row r="49" spans="1:11" x14ac:dyDescent="0.25">
      <c r="A49" s="118" t="s">
        <v>232</v>
      </c>
      <c r="B49" s="119"/>
      <c r="C49" s="10"/>
      <c r="D49" s="10"/>
      <c r="E49" s="10"/>
      <c r="F49" s="10"/>
      <c r="G49" s="10"/>
      <c r="H49" s="10"/>
      <c r="I49" s="10"/>
      <c r="J49" s="10"/>
      <c r="K49" s="96"/>
    </row>
    <row r="50" spans="1:11" x14ac:dyDescent="0.25">
      <c r="A50" s="120" t="s">
        <v>498</v>
      </c>
      <c r="B50" s="120"/>
      <c r="C50" s="106" t="s">
        <v>9</v>
      </c>
      <c r="D50" s="106"/>
      <c r="E50" s="106"/>
      <c r="F50" s="106"/>
      <c r="G50" s="106"/>
      <c r="H50" s="106"/>
      <c r="I50" s="109"/>
      <c r="J50" s="5"/>
      <c r="K50" s="49" t="str">
        <f t="shared" ref="K50" si="7">IF(ISBLANK(J50),IncompleteText, IF(J50, OKText, ErrorText))</f>
        <v>BLANK</v>
      </c>
    </row>
  </sheetData>
  <sheetProtection algorithmName="SHA-512" hashValue="Kur3vda1UGWkC9PT6nDZHR5tgXAKuAynf/cjm1RDRtfv5Hayal+CJt/djWCoBtz0JUjj2w5sRNeOuWekh41hZQ==" saltValue="CLFNOntvjKG56lPw/mx17w==" spinCount="100000" sheet="1" scenarios="1"/>
  <mergeCells count="77">
    <mergeCell ref="A40:B40"/>
    <mergeCell ref="C40:I40"/>
    <mergeCell ref="A39:B39"/>
    <mergeCell ref="C39:I39"/>
    <mergeCell ref="A50:B50"/>
    <mergeCell ref="C50:I50"/>
    <mergeCell ref="A49:B49"/>
    <mergeCell ref="A48:J48"/>
    <mergeCell ref="C44:I44"/>
    <mergeCell ref="A44:B44"/>
    <mergeCell ref="A43:B43"/>
    <mergeCell ref="C43:I43"/>
    <mergeCell ref="A42:B42"/>
    <mergeCell ref="C42:I42"/>
    <mergeCell ref="A41:B41"/>
    <mergeCell ref="C41:I41"/>
    <mergeCell ref="M43:N43"/>
    <mergeCell ref="O42:U42"/>
    <mergeCell ref="O43:U43"/>
    <mergeCell ref="M41:N41"/>
    <mergeCell ref="O41:U41"/>
    <mergeCell ref="M42:N42"/>
    <mergeCell ref="K48:K49"/>
    <mergeCell ref="A45:B45"/>
    <mergeCell ref="C45:I45"/>
    <mergeCell ref="A46:B46"/>
    <mergeCell ref="C46:I46"/>
    <mergeCell ref="Y2:AE2"/>
    <mergeCell ref="Y3:AE27"/>
    <mergeCell ref="O38:U38"/>
    <mergeCell ref="M38:N38"/>
    <mergeCell ref="O39:U39"/>
    <mergeCell ref="O31:U31"/>
    <mergeCell ref="M32:N32"/>
    <mergeCell ref="O32:U32"/>
    <mergeCell ref="M33:N33"/>
    <mergeCell ref="O33:U33"/>
    <mergeCell ref="M34:N34"/>
    <mergeCell ref="M2:W27"/>
    <mergeCell ref="M28:V28"/>
    <mergeCell ref="W28:W29"/>
    <mergeCell ref="M29:N29"/>
    <mergeCell ref="M30:N30"/>
    <mergeCell ref="O40:U40"/>
    <mergeCell ref="M35:N35"/>
    <mergeCell ref="O35:U35"/>
    <mergeCell ref="M36:N36"/>
    <mergeCell ref="O36:U36"/>
    <mergeCell ref="M37:N37"/>
    <mergeCell ref="O37:U37"/>
    <mergeCell ref="M39:N39"/>
    <mergeCell ref="M40:N40"/>
    <mergeCell ref="O30:U30"/>
    <mergeCell ref="M31:N31"/>
    <mergeCell ref="A34:B34"/>
    <mergeCell ref="C34:I34"/>
    <mergeCell ref="A35:B35"/>
    <mergeCell ref="C35:I35"/>
    <mergeCell ref="O34:U34"/>
    <mergeCell ref="A31:B31"/>
    <mergeCell ref="C31:I31"/>
    <mergeCell ref="A32:B32"/>
    <mergeCell ref="C32:I32"/>
    <mergeCell ref="A33:B33"/>
    <mergeCell ref="C33:I33"/>
    <mergeCell ref="A36:B36"/>
    <mergeCell ref="C36:I36"/>
    <mergeCell ref="A37:B37"/>
    <mergeCell ref="C37:I37"/>
    <mergeCell ref="A38:B38"/>
    <mergeCell ref="C38:I38"/>
    <mergeCell ref="A2:K27"/>
    <mergeCell ref="A28:J28"/>
    <mergeCell ref="K28:K29"/>
    <mergeCell ref="A29:B29"/>
    <mergeCell ref="A30:B30"/>
    <mergeCell ref="C30:I30"/>
  </mergeCells>
  <phoneticPr fontId="12" type="noConversion"/>
  <dataValidations count="1">
    <dataValidation type="list" allowBlank="1" showInputMessage="1" showErrorMessage="1" sqref="J50 V30:V46 J30:J46" xr:uid="{927C8D59-73E2-4CF3-9EA9-5B63A60DED4D}">
      <formula1>"TRUE,FALSE"</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1EF54-E8D7-49D5-8F60-5407DD8186E3}">
  <sheetPr codeName="Sheet4"/>
  <dimension ref="A1:BA98"/>
  <sheetViews>
    <sheetView zoomScale="85" zoomScaleNormal="85" workbookViewId="0">
      <selection activeCell="D17" sqref="D17"/>
    </sheetView>
  </sheetViews>
  <sheetFormatPr defaultColWidth="10.6640625" defaultRowHeight="13.8" x14ac:dyDescent="0.25"/>
  <cols>
    <col min="1" max="1" width="14.21875" style="46" customWidth="1"/>
    <col min="2" max="3" width="10.6640625" style="46"/>
    <col min="4" max="4" width="12.33203125" style="46" customWidth="1"/>
    <col min="5" max="5" width="15.88671875" style="46" customWidth="1"/>
    <col min="6" max="6" width="10.6640625" style="46"/>
    <col min="7" max="7" width="15.21875" style="46" customWidth="1"/>
    <col min="8" max="8" width="16.77734375" style="46" customWidth="1"/>
    <col min="9" max="9" width="10.6640625" style="46"/>
    <col min="10" max="10" width="10.6640625" style="46" customWidth="1"/>
    <col min="11" max="11" width="11.77734375" style="46" customWidth="1"/>
    <col min="12" max="13" width="10.6640625" style="46"/>
    <col min="14" max="14" width="19.77734375" style="46" customWidth="1"/>
    <col min="15" max="16" width="10.6640625" style="46"/>
    <col min="17" max="17" width="16.88671875" style="46" customWidth="1"/>
    <col min="18" max="19" width="10.6640625" style="46"/>
    <col min="20" max="20" width="12.77734375" style="46" customWidth="1"/>
    <col min="21" max="25" width="10.6640625" style="46"/>
    <col min="26" max="26" width="10.6640625" style="46" customWidth="1"/>
    <col min="27" max="33" width="10.6640625" style="46"/>
    <col min="34" max="34" width="14.44140625" style="46" customWidth="1"/>
    <col min="35" max="16384" width="10.6640625" style="46"/>
  </cols>
  <sheetData>
    <row r="1" spans="1:53" x14ac:dyDescent="0.25">
      <c r="A1" s="48" t="s">
        <v>72</v>
      </c>
      <c r="B1" s="49" t="str">
        <f ca="1">IF(SUM(COUNTIF(INDIRECT({"$G$3","$G$4","$G$5","$J$8","$Q$8","$W$8","$AD$8","$AK$8","$Z$52","$Q$52","$H$52","$AI$52","$AR$52","$BA$52","$Q$83","$H$83"}), "="&amp;IncompleteText)), IncompleteText, IF(SUM(COUNTIF(INDIRECT({"$G$3","$G$4","$G$5","$J$8","$Q$8","$W$8","$AD$8","$AK$8","$Z$52","$Q$52","$H$52","$AI$52","$AR$52","$BA$52","$Q$83","$H$83"}), "="&amp;ErrorText)), ErrorText, OKText))</f>
        <v>BLANK</v>
      </c>
    </row>
    <row r="3" spans="1:53" x14ac:dyDescent="0.25">
      <c r="A3" s="106" t="s">
        <v>161</v>
      </c>
      <c r="B3" s="106"/>
      <c r="C3" s="106"/>
      <c r="D3" s="109"/>
      <c r="E3" s="47"/>
      <c r="F3" s="45"/>
      <c r="G3" s="49" t="str">
        <f>IF(ISBLANK(E3), IncompleteText, OKText)</f>
        <v>BLANK</v>
      </c>
    </row>
    <row r="4" spans="1:53" x14ac:dyDescent="0.25">
      <c r="A4" s="106" t="s">
        <v>68</v>
      </c>
      <c r="B4" s="106"/>
      <c r="C4" s="106"/>
      <c r="D4" s="109"/>
      <c r="E4" s="73" cm="1">
        <f t="array" ref="E4">IF(E3="串联 Serial",SUM(C12:C29)*BattCellMaxV,C12*BattCellMaxV*SUM(IF(FREQUENCY(E12:E29,E12:E29)&gt;0,1)))</f>
        <v>0</v>
      </c>
      <c r="F4" s="45" t="s">
        <v>0</v>
      </c>
      <c r="G4" s="49" t="str">
        <f>IF(MaxTSVoltage=0,IncompleteText,IF(E4 &gt; 600, ErrorText, OKText))</f>
        <v>BLANK</v>
      </c>
    </row>
    <row r="5" spans="1:53" x14ac:dyDescent="0.25">
      <c r="A5" s="106" t="s">
        <v>464</v>
      </c>
      <c r="B5" s="106"/>
      <c r="C5" s="106"/>
      <c r="D5" s="109"/>
      <c r="E5" s="73" cm="1">
        <f t="array" ref="E5">IF(E3="串联 Serial",SUM(C12:C29)*BattCellNomV,C12*BattCellNomV*SUM(IF(FREQUENCY(E12:E29,E12:E29)&gt;0,1)))</f>
        <v>0</v>
      </c>
      <c r="F5" s="45" t="s">
        <v>0</v>
      </c>
      <c r="G5" s="49" t="str">
        <f>IF(MaxTSVoltage=0,IncompleteText,IF(E5 &gt; 600, ErrorText, OKText))</f>
        <v>BLANK</v>
      </c>
    </row>
    <row r="6" spans="1:53" x14ac:dyDescent="0.25">
      <c r="A6" s="106" t="s">
        <v>463</v>
      </c>
      <c r="B6" s="106"/>
      <c r="C6" s="106"/>
      <c r="D6" s="109"/>
      <c r="E6" s="73">
        <f>SUMPRODUCT(B12:B29,C12:C29)</f>
        <v>0</v>
      </c>
      <c r="F6" s="45"/>
      <c r="G6" s="49"/>
    </row>
    <row r="8" spans="1:53" x14ac:dyDescent="0.25">
      <c r="A8" s="105" t="s">
        <v>163</v>
      </c>
      <c r="B8" s="105"/>
      <c r="C8" s="105"/>
      <c r="D8" s="105"/>
      <c r="E8" s="105"/>
      <c r="F8" s="105"/>
      <c r="G8" s="105"/>
      <c r="H8" s="105"/>
      <c r="I8" s="105"/>
      <c r="J8" s="49" t="str">
        <f>IF(COUNTIF(J9:J29, "="&amp;IncompleteText), IncompleteText, IF(COUNTIF(J9:J29, "="&amp;ErrorText), ErrorText, OKText))</f>
        <v>BLANK</v>
      </c>
      <c r="K8" s="105" t="s">
        <v>11</v>
      </c>
      <c r="L8" s="105"/>
      <c r="M8" s="105"/>
      <c r="N8" s="105"/>
      <c r="O8" s="105"/>
      <c r="P8" s="105"/>
      <c r="Q8" s="49" t="str">
        <f>IF(COUNTIF(Q9:Q30, "="&amp;IncompleteText), IncompleteText, IF(COUNTIF(Q9:Q30, "="&amp;ErrorText), ErrorText, OKText))</f>
        <v>BLANK</v>
      </c>
      <c r="R8" s="105" t="s">
        <v>191</v>
      </c>
      <c r="S8" s="105"/>
      <c r="T8" s="105"/>
      <c r="U8" s="105"/>
      <c r="V8" s="105"/>
      <c r="W8" s="49" t="str">
        <f>IF(COUNTIF(W9:W21, "="&amp;IncompleteText), IncompleteText, IF(COUNTIF(W9:W21, "="&amp;ErrorText), ErrorText, OKText))</f>
        <v>BLANK</v>
      </c>
      <c r="X8" s="105" t="s">
        <v>204</v>
      </c>
      <c r="Y8" s="105"/>
      <c r="Z8" s="105"/>
      <c r="AA8" s="105"/>
      <c r="AB8" s="105"/>
      <c r="AC8" s="105"/>
      <c r="AD8" s="49" t="str">
        <f>IF(COUNTIF(AD9:AD18, "="&amp;IncompleteText), IncompleteText, IF(COUNTIF(AD9:AD18, "="&amp;ErrorText), ErrorText, OKText))</f>
        <v>BLANK</v>
      </c>
      <c r="AE8" s="105" t="s">
        <v>503</v>
      </c>
      <c r="AF8" s="105"/>
      <c r="AG8" s="105"/>
      <c r="AH8" s="105"/>
      <c r="AI8" s="105"/>
      <c r="AJ8" s="105"/>
      <c r="AK8" s="49" t="str">
        <f>IF(AI9="否 No", OKText, IF(COUNTIF(AK9:AK13, "="&amp;IncompleteText), IncompleteText, IF(COUNTIF(AK9:AK13, "="&amp;ErrorText), ErrorText, OKText)))</f>
        <v>BLANK</v>
      </c>
      <c r="AM8" s="105" t="s">
        <v>503</v>
      </c>
      <c r="AN8" s="105"/>
      <c r="AO8" s="105"/>
      <c r="AP8" s="105"/>
      <c r="AQ8" s="105"/>
      <c r="AR8" s="105"/>
      <c r="AS8" s="105"/>
      <c r="AU8" s="139" t="s">
        <v>210</v>
      </c>
      <c r="AV8" s="83"/>
      <c r="AW8" s="83"/>
      <c r="AX8" s="83"/>
      <c r="AY8" s="83"/>
      <c r="AZ8" s="83"/>
      <c r="BA8" s="83"/>
    </row>
    <row r="9" spans="1:53" s="33" customFormat="1" ht="18" customHeight="1" x14ac:dyDescent="0.25">
      <c r="A9" s="140" t="s">
        <v>162</v>
      </c>
      <c r="B9" s="140"/>
      <c r="C9" s="141"/>
      <c r="D9" s="152"/>
      <c r="E9" s="153"/>
      <c r="F9" s="30"/>
      <c r="G9" s="30"/>
      <c r="H9" s="30"/>
      <c r="I9" s="30"/>
      <c r="J9" s="52" t="str">
        <f>IF(ISBLANK(D9), IncompleteText, OKText)</f>
        <v>BLANK</v>
      </c>
      <c r="K9" s="140" t="s">
        <v>171</v>
      </c>
      <c r="L9" s="140"/>
      <c r="M9" s="140"/>
      <c r="N9" s="141"/>
      <c r="O9" s="154"/>
      <c r="P9" s="154"/>
      <c r="Q9" s="52" t="str">
        <f>IF(ISBLANK(O9), IncompleteText, OKText)</f>
        <v>BLANK</v>
      </c>
      <c r="R9" s="140" t="s">
        <v>192</v>
      </c>
      <c r="S9" s="140"/>
      <c r="T9" s="141"/>
      <c r="U9" s="152"/>
      <c r="V9" s="153"/>
      <c r="W9" s="52" t="str">
        <f>IF(ISBLANK(U9), IncompleteText, OKText)</f>
        <v>BLANK</v>
      </c>
      <c r="X9" s="157" t="s">
        <v>450</v>
      </c>
      <c r="Y9" s="157"/>
      <c r="Z9" s="157"/>
      <c r="AA9" s="158"/>
      <c r="AB9" s="154"/>
      <c r="AC9" s="154"/>
      <c r="AD9" s="52" t="str">
        <f>IF(ISBLANK(AB9), IncompleteText, OKText)</f>
        <v>BLANK</v>
      </c>
      <c r="AE9" s="157" t="s">
        <v>527</v>
      </c>
      <c r="AF9" s="157"/>
      <c r="AG9" s="157"/>
      <c r="AH9" s="159"/>
      <c r="AI9" s="132"/>
      <c r="AJ9" s="132"/>
      <c r="AK9" s="54" t="str">
        <f>IF(ISBLANK(AI9), IncompleteText, OKText)</f>
        <v>BLANK</v>
      </c>
      <c r="AM9" s="127" t="s">
        <v>508</v>
      </c>
      <c r="AN9" s="127"/>
      <c r="AO9" s="127"/>
      <c r="AP9" s="127"/>
      <c r="AQ9" s="127"/>
      <c r="AR9" s="127"/>
      <c r="AS9" s="127"/>
      <c r="AU9" s="127" t="s">
        <v>465</v>
      </c>
      <c r="AV9" s="127"/>
      <c r="AW9" s="127"/>
      <c r="AX9" s="127"/>
      <c r="AY9" s="127"/>
      <c r="AZ9" s="127"/>
      <c r="BA9" s="127"/>
    </row>
    <row r="10" spans="1:53" x14ac:dyDescent="0.25">
      <c r="A10" s="142" t="s">
        <v>164</v>
      </c>
      <c r="B10" s="142" t="s">
        <v>165</v>
      </c>
      <c r="C10" s="155" t="s">
        <v>166</v>
      </c>
      <c r="D10" s="155" t="s">
        <v>167</v>
      </c>
      <c r="E10" s="156" t="s">
        <v>168</v>
      </c>
      <c r="F10" s="156" t="s">
        <v>169</v>
      </c>
      <c r="G10" s="156"/>
      <c r="H10" s="156" t="s">
        <v>170</v>
      </c>
      <c r="I10" s="156"/>
      <c r="J10" s="48"/>
      <c r="K10" s="140" t="s">
        <v>172</v>
      </c>
      <c r="L10" s="140"/>
      <c r="M10" s="140"/>
      <c r="N10" s="141"/>
      <c r="O10" s="108"/>
      <c r="P10" s="108"/>
      <c r="Q10" s="49" t="str">
        <f>IF(ISBLANK(O10), IncompleteText, OKText)</f>
        <v>BLANK</v>
      </c>
      <c r="R10" s="133" t="s">
        <v>193</v>
      </c>
      <c r="S10" s="133"/>
      <c r="T10" s="134"/>
      <c r="U10" s="73" t="e">
        <f>VLOOKUP(U9, ConnectorTable, 3, FALSE)</f>
        <v>#N/A</v>
      </c>
      <c r="V10" s="45" t="s">
        <v>2</v>
      </c>
      <c r="W10" s="49" t="str">
        <f>IF(ISERROR(U10),IncompleteText,IF(E3="串联 Serial",IF(U10&gt;=U20,OKText,ErrorText),IF(E3="并联 Parallel",IF(U10&gt;=U12,OKText,ErrorText),IncompleteText)))</f>
        <v>BLANK</v>
      </c>
      <c r="X10" s="133" t="s">
        <v>205</v>
      </c>
      <c r="Y10" s="133"/>
      <c r="Z10" s="133"/>
      <c r="AA10" s="134"/>
      <c r="AB10" s="73" t="e">
        <f>VLOOKUP(AB9, InsulationsTable, 4, FALSE)</f>
        <v>#N/A</v>
      </c>
      <c r="AC10" s="45" t="s">
        <v>0</v>
      </c>
      <c r="AD10" s="49" t="str">
        <f>IF(ISERROR(AB10), IncompleteText, IF(AB10 &lt; MaxTSVoltage,  ErrorText, OKText))</f>
        <v>BLANK</v>
      </c>
      <c r="AE10" s="128" t="s">
        <v>483</v>
      </c>
      <c r="AF10" s="128"/>
      <c r="AG10" s="128"/>
      <c r="AH10" s="129"/>
      <c r="AI10" s="132"/>
      <c r="AJ10" s="132"/>
      <c r="AK10" s="52" t="str">
        <f>IF(ISBLANK(AI10), IncompleteText, OKText)</f>
        <v>BLANK</v>
      </c>
      <c r="AM10" s="127"/>
      <c r="AN10" s="127"/>
      <c r="AO10" s="127"/>
      <c r="AP10" s="127"/>
      <c r="AQ10" s="127"/>
      <c r="AR10" s="127"/>
      <c r="AS10" s="127"/>
      <c r="AU10" s="127"/>
      <c r="AV10" s="127"/>
      <c r="AW10" s="127"/>
      <c r="AX10" s="127"/>
      <c r="AY10" s="127"/>
      <c r="AZ10" s="127"/>
      <c r="BA10" s="127"/>
    </row>
    <row r="11" spans="1:53" x14ac:dyDescent="0.25">
      <c r="A11" s="142"/>
      <c r="B11" s="142"/>
      <c r="C11" s="155"/>
      <c r="D11" s="155"/>
      <c r="E11" s="156"/>
      <c r="F11" s="156"/>
      <c r="G11" s="156"/>
      <c r="H11" s="156"/>
      <c r="I11" s="156"/>
      <c r="J11" s="48"/>
      <c r="K11" s="57" t="s">
        <v>528</v>
      </c>
      <c r="L11" s="160"/>
      <c r="M11" s="160"/>
      <c r="N11" s="57" t="s">
        <v>173</v>
      </c>
      <c r="O11" s="108"/>
      <c r="P11" s="108"/>
      <c r="Q11" s="49" t="str">
        <f>IF(O10="供应商提供 From Suppliers", IF(OR(ISBLANK(L11), ISBLANK(O11)), IncompleteText, OKText), "")</f>
        <v/>
      </c>
      <c r="R11" s="133" t="s">
        <v>194</v>
      </c>
      <c r="S11" s="133"/>
      <c r="T11" s="134"/>
      <c r="U11" s="135"/>
      <c r="V11" s="136"/>
      <c r="W11" s="49" t="str">
        <f>IF(E3="串联 Serial","",IF(ISBLANK(U11), IncompleteText, OKText))</f>
        <v>BLANK</v>
      </c>
      <c r="X11" s="133" t="s">
        <v>206</v>
      </c>
      <c r="Y11" s="133"/>
      <c r="Z11" s="133"/>
      <c r="AA11" s="134"/>
      <c r="AB11" s="73" t="e">
        <f>VLOOKUP(AB9, InsulationsTable, 5, FALSE)</f>
        <v>#N/A</v>
      </c>
      <c r="AC11" s="45" t="s">
        <v>5</v>
      </c>
      <c r="AD11" s="49" t="str">
        <f>IF(ISERROR(AB11), IncompleteText, IF(AB11 &lt; 90,  ErrorText, OKText))</f>
        <v>BLANK</v>
      </c>
      <c r="AE11" s="128" t="s">
        <v>484</v>
      </c>
      <c r="AF11" s="128"/>
      <c r="AG11" s="128"/>
      <c r="AH11" s="129"/>
      <c r="AI11" s="74"/>
      <c r="AJ11" s="75" t="s">
        <v>485</v>
      </c>
      <c r="AK11" s="63" t="str">
        <f>IF(ISBLANK(AI11), IncompleteText, OKText)</f>
        <v>BLANK</v>
      </c>
      <c r="AM11" s="127"/>
      <c r="AN11" s="127"/>
      <c r="AO11" s="127"/>
      <c r="AP11" s="127"/>
      <c r="AQ11" s="127"/>
      <c r="AR11" s="127"/>
      <c r="AS11" s="127"/>
      <c r="AU11" s="127"/>
      <c r="AV11" s="127"/>
      <c r="AW11" s="127"/>
      <c r="AX11" s="127"/>
      <c r="AY11" s="127"/>
      <c r="AZ11" s="127"/>
      <c r="BA11" s="127"/>
    </row>
    <row r="12" spans="1:53" x14ac:dyDescent="0.25">
      <c r="A12" s="64">
        <v>1</v>
      </c>
      <c r="B12" s="47"/>
      <c r="C12" s="47"/>
      <c r="D12" s="47"/>
      <c r="E12" s="47"/>
      <c r="F12" s="148">
        <f t="shared" ref="F12:F29" si="0">C12*BattCellMaxV</f>
        <v>0</v>
      </c>
      <c r="G12" s="148"/>
      <c r="H12" s="148">
        <f t="shared" ref="H12:H29" si="1">F12*B12*BattCellCapacity*0.0036</f>
        <v>0</v>
      </c>
      <c r="I12" s="148"/>
      <c r="J12" s="49" t="str">
        <f>IF(COUNTBLANK(A12:E12) &gt; 0, IncompleteText, IF(OR(F12&gt;120, H12&gt;6), ErrorText, OKText))</f>
        <v>BLANK</v>
      </c>
      <c r="K12" s="128" t="s">
        <v>174</v>
      </c>
      <c r="L12" s="128"/>
      <c r="M12" s="128"/>
      <c r="N12" s="163"/>
      <c r="O12" s="47"/>
      <c r="P12" s="45" t="s">
        <v>0</v>
      </c>
      <c r="Q12" s="49" t="str">
        <f>IF(ISBLANK(O12), IncompleteText, IF(O12&lt;E4, ErrorText, OKText))</f>
        <v>BLANK</v>
      </c>
      <c r="R12" s="133" t="s">
        <v>195</v>
      </c>
      <c r="S12" s="133"/>
      <c r="T12" s="134"/>
      <c r="U12" s="73" t="e">
        <f>VLOOKUP(U11, FuseTable, 3, FALSE)</f>
        <v>#N/A</v>
      </c>
      <c r="V12" s="45" t="s">
        <v>2</v>
      </c>
      <c r="W12" s="50"/>
      <c r="X12" s="133" t="s">
        <v>207</v>
      </c>
      <c r="Y12" s="133"/>
      <c r="Z12" s="133"/>
      <c r="AA12" s="134"/>
      <c r="AB12" s="108"/>
      <c r="AC12" s="108"/>
      <c r="AD12" s="49" t="str">
        <f>IF(ISBLANK(AB12), IncompleteText, OKText)</f>
        <v>BLANK</v>
      </c>
      <c r="AE12" s="128" t="s">
        <v>486</v>
      </c>
      <c r="AF12" s="128"/>
      <c r="AG12" s="128"/>
      <c r="AH12" s="129"/>
      <c r="AI12" s="74"/>
      <c r="AJ12" s="75" t="s">
        <v>485</v>
      </c>
      <c r="AK12" s="63" t="str">
        <f>IF(ISBLANK(AI12), IncompleteText, OKText)</f>
        <v>BLANK</v>
      </c>
      <c r="AM12" s="127"/>
      <c r="AN12" s="127"/>
      <c r="AO12" s="127"/>
      <c r="AP12" s="127"/>
      <c r="AQ12" s="127"/>
      <c r="AR12" s="127"/>
      <c r="AS12" s="127"/>
      <c r="AU12" s="127"/>
      <c r="AV12" s="127"/>
      <c r="AW12" s="127"/>
      <c r="AX12" s="127"/>
      <c r="AY12" s="127"/>
      <c r="AZ12" s="127"/>
      <c r="BA12" s="127"/>
    </row>
    <row r="13" spans="1:53" x14ac:dyDescent="0.25">
      <c r="A13" s="64">
        <v>2</v>
      </c>
      <c r="B13" s="47"/>
      <c r="C13" s="47"/>
      <c r="D13" s="47"/>
      <c r="E13" s="47"/>
      <c r="F13" s="148">
        <f t="shared" si="0"/>
        <v>0</v>
      </c>
      <c r="G13" s="148"/>
      <c r="H13" s="148">
        <f t="shared" si="1"/>
        <v>0</v>
      </c>
      <c r="I13" s="148"/>
      <c r="J13" s="49" t="str">
        <f t="shared" ref="J13:J29" si="2">IF(COUNTBLANK(A13:E13)=4,"",IF(COUNTBLANK(A13:E13) &gt; 0, IncompleteText, IF(OR(F13&gt;120, H13&gt;6), ErrorText, OKText)))</f>
        <v/>
      </c>
      <c r="K13" s="140" t="s">
        <v>175</v>
      </c>
      <c r="L13" s="140"/>
      <c r="M13" s="140"/>
      <c r="N13" s="141"/>
      <c r="O13" s="47"/>
      <c r="P13" s="45" t="s">
        <v>0</v>
      </c>
      <c r="Q13" s="49" t="str">
        <f>IF(ISBLANK(O13), IncompleteText, IF(O13&lt;MAX(F12:G29), ErrorText, OKText))</f>
        <v>BLANK</v>
      </c>
      <c r="R13" s="105" t="s">
        <v>19</v>
      </c>
      <c r="S13" s="105"/>
      <c r="T13" s="105"/>
      <c r="U13" s="105"/>
      <c r="V13" s="105"/>
      <c r="W13" s="50"/>
      <c r="X13" s="133" t="s">
        <v>205</v>
      </c>
      <c r="Y13" s="133"/>
      <c r="Z13" s="133"/>
      <c r="AA13" s="134"/>
      <c r="AB13" s="73" t="e">
        <f>VLOOKUP(AB12, InsulationsTable, 4, FALSE)</f>
        <v>#N/A</v>
      </c>
      <c r="AC13" s="45" t="s">
        <v>0</v>
      </c>
      <c r="AD13" s="49" t="str">
        <f>IF(ISERROR(AB13), IncompleteText, IF(AB13 &lt; MaxTSVoltage,  ErrorText, OKText))</f>
        <v>BLANK</v>
      </c>
      <c r="AE13" s="128" t="s">
        <v>487</v>
      </c>
      <c r="AF13" s="128"/>
      <c r="AG13" s="128"/>
      <c r="AH13" s="129"/>
      <c r="AI13" s="130"/>
      <c r="AJ13" s="130"/>
      <c r="AK13" s="63" t="str">
        <f>IF(ISBLANK(AI13), IncompleteText, OKText)</f>
        <v>BLANK</v>
      </c>
      <c r="AM13" s="127"/>
      <c r="AN13" s="127"/>
      <c r="AO13" s="127"/>
      <c r="AP13" s="127"/>
      <c r="AQ13" s="127"/>
      <c r="AR13" s="127"/>
      <c r="AS13" s="127"/>
      <c r="AU13" s="127"/>
      <c r="AV13" s="127"/>
      <c r="AW13" s="127"/>
      <c r="AX13" s="127"/>
      <c r="AY13" s="127"/>
      <c r="AZ13" s="127"/>
      <c r="BA13" s="127"/>
    </row>
    <row r="14" spans="1:53" x14ac:dyDescent="0.25">
      <c r="A14" s="64">
        <v>3</v>
      </c>
      <c r="B14" s="47"/>
      <c r="C14" s="47"/>
      <c r="D14" s="47"/>
      <c r="E14" s="47"/>
      <c r="F14" s="148">
        <f t="shared" si="0"/>
        <v>0</v>
      </c>
      <c r="G14" s="148"/>
      <c r="H14" s="148">
        <f t="shared" si="1"/>
        <v>0</v>
      </c>
      <c r="I14" s="148"/>
      <c r="J14" s="49" t="str">
        <f t="shared" si="2"/>
        <v/>
      </c>
      <c r="K14" s="140" t="s">
        <v>176</v>
      </c>
      <c r="L14" s="140"/>
      <c r="M14" s="140"/>
      <c r="N14" s="141"/>
      <c r="O14" s="137"/>
      <c r="P14" s="138"/>
      <c r="Q14" s="49" t="str">
        <f>IF($O$10="车队自制 Team design", IF(ISBLANK(O14), IncompleteText, OKText), "")</f>
        <v/>
      </c>
      <c r="R14" s="133" t="s">
        <v>196</v>
      </c>
      <c r="S14" s="133"/>
      <c r="T14" s="134"/>
      <c r="U14" s="135"/>
      <c r="V14" s="136"/>
      <c r="W14" s="49" t="str">
        <f>IF(ISBLANK(U14), IncompleteText, OKText)</f>
        <v>BLANK</v>
      </c>
      <c r="X14" s="133" t="s">
        <v>206</v>
      </c>
      <c r="Y14" s="133"/>
      <c r="Z14" s="133"/>
      <c r="AA14" s="134"/>
      <c r="AB14" s="73" t="e">
        <f>VLOOKUP(AB12, InsulationsTable, 5, FALSE)</f>
        <v>#N/A</v>
      </c>
      <c r="AC14" s="45" t="s">
        <v>5</v>
      </c>
      <c r="AD14" s="49" t="str">
        <f>IF(ISERROR(AB14), IncompleteText, IF(AB14 &lt; 90,  ErrorText, OKText))</f>
        <v>BLANK</v>
      </c>
      <c r="AE14" s="43"/>
      <c r="AF14" s="43"/>
      <c r="AG14" s="43"/>
      <c r="AH14" s="43"/>
      <c r="AI14" s="43"/>
      <c r="AJ14" s="43"/>
      <c r="AK14" s="43"/>
      <c r="AM14" s="127"/>
      <c r="AN14" s="127"/>
      <c r="AO14" s="127"/>
      <c r="AP14" s="127"/>
      <c r="AQ14" s="127"/>
      <c r="AR14" s="127"/>
      <c r="AS14" s="127"/>
      <c r="AU14" s="127"/>
      <c r="AV14" s="127"/>
      <c r="AW14" s="127"/>
      <c r="AX14" s="127"/>
      <c r="AY14" s="127"/>
      <c r="AZ14" s="127"/>
      <c r="BA14" s="127"/>
    </row>
    <row r="15" spans="1:53" x14ac:dyDescent="0.25">
      <c r="A15" s="64">
        <v>4</v>
      </c>
      <c r="B15" s="47"/>
      <c r="C15" s="47"/>
      <c r="D15" s="47"/>
      <c r="E15" s="47"/>
      <c r="F15" s="148">
        <f t="shared" si="0"/>
        <v>0</v>
      </c>
      <c r="G15" s="148"/>
      <c r="H15" s="148">
        <f t="shared" si="1"/>
        <v>0</v>
      </c>
      <c r="I15" s="148"/>
      <c r="J15" s="49" t="str">
        <f t="shared" si="2"/>
        <v/>
      </c>
      <c r="K15" s="140" t="s">
        <v>177</v>
      </c>
      <c r="L15" s="140"/>
      <c r="M15" s="140"/>
      <c r="N15" s="141"/>
      <c r="O15" s="137"/>
      <c r="P15" s="138"/>
      <c r="Q15" s="49" t="str">
        <f>IF($O$10="车队自制 Team design", IF(ISBLANK(O15), IncompleteText, OKText), "")</f>
        <v/>
      </c>
      <c r="R15" s="133" t="s">
        <v>199</v>
      </c>
      <c r="S15" s="133"/>
      <c r="T15" s="134"/>
      <c r="U15" s="73" t="e">
        <f>VLOOKUP(U14, ContactorsTable, 2, FALSE)</f>
        <v>#N/A</v>
      </c>
      <c r="V15" s="45" t="s">
        <v>197</v>
      </c>
      <c r="W15" s="49" t="str">
        <f>IF(ISERROR(U15), IncompleteText, IF(U15 &lt; MaxTSVoltage,  ErrorText, OKText))</f>
        <v>BLANK</v>
      </c>
      <c r="X15" s="106" t="s">
        <v>208</v>
      </c>
      <c r="Y15" s="106"/>
      <c r="Z15" s="106"/>
      <c r="AA15" s="109"/>
      <c r="AB15" s="137"/>
      <c r="AC15" s="138"/>
      <c r="AD15" s="49" t="str">
        <f>IF(ISBLANK(AB15), IncompleteText, OKText)</f>
        <v>BLANK</v>
      </c>
      <c r="AE15" s="43"/>
      <c r="AF15" s="43"/>
      <c r="AG15" s="43"/>
      <c r="AH15" s="43"/>
      <c r="AI15" s="43"/>
      <c r="AJ15" s="43"/>
      <c r="AK15" s="43"/>
      <c r="AM15" s="127"/>
      <c r="AN15" s="127"/>
      <c r="AO15" s="127"/>
      <c r="AP15" s="127"/>
      <c r="AQ15" s="127"/>
      <c r="AR15" s="127"/>
      <c r="AS15" s="127"/>
      <c r="AU15" s="127"/>
      <c r="AV15" s="127"/>
      <c r="AW15" s="127"/>
      <c r="AX15" s="127"/>
      <c r="AY15" s="127"/>
      <c r="AZ15" s="127"/>
      <c r="BA15" s="127"/>
    </row>
    <row r="16" spans="1:53" x14ac:dyDescent="0.25">
      <c r="A16" s="64">
        <v>5</v>
      </c>
      <c r="B16" s="47"/>
      <c r="C16" s="47"/>
      <c r="D16" s="47"/>
      <c r="E16" s="47"/>
      <c r="F16" s="148">
        <f t="shared" si="0"/>
        <v>0</v>
      </c>
      <c r="G16" s="148"/>
      <c r="H16" s="148">
        <f t="shared" si="1"/>
        <v>0</v>
      </c>
      <c r="I16" s="148"/>
      <c r="J16" s="49" t="str">
        <f t="shared" si="2"/>
        <v/>
      </c>
      <c r="K16" s="149" t="s">
        <v>178</v>
      </c>
      <c r="L16" s="149"/>
      <c r="M16" s="149"/>
      <c r="N16" s="149"/>
      <c r="O16" s="149"/>
      <c r="P16" s="149"/>
      <c r="Q16" s="50"/>
      <c r="R16" s="133" t="s">
        <v>198</v>
      </c>
      <c r="S16" s="133"/>
      <c r="T16" s="134"/>
      <c r="U16" s="73" t="e">
        <f>VLOOKUP(U14, ContactorsTable, 4, FALSE)</f>
        <v>#N/A</v>
      </c>
      <c r="V16" s="45" t="s">
        <v>2</v>
      </c>
      <c r="W16" s="50"/>
      <c r="X16" s="133" t="s">
        <v>205</v>
      </c>
      <c r="Y16" s="133"/>
      <c r="Z16" s="133"/>
      <c r="AA16" s="134"/>
      <c r="AB16" s="73" t="e">
        <f>VLOOKUP(AB15, InsulationsTable, 4, FALSE)</f>
        <v>#N/A</v>
      </c>
      <c r="AC16" s="45" t="s">
        <v>0</v>
      </c>
      <c r="AD16" s="49" t="str">
        <f>IF(ISERROR(AB16), IncompleteText, IF(AB16 &lt; MaxTSVoltage,  ErrorText, OKText))</f>
        <v>BLANK</v>
      </c>
      <c r="AE16" s="43"/>
      <c r="AF16" s="43"/>
      <c r="AG16" s="43"/>
      <c r="AH16" s="43"/>
      <c r="AI16" s="43"/>
      <c r="AJ16" s="43"/>
      <c r="AK16" s="43"/>
      <c r="AM16" s="127"/>
      <c r="AN16" s="127"/>
      <c r="AO16" s="127"/>
      <c r="AP16" s="127"/>
      <c r="AQ16" s="127"/>
      <c r="AR16" s="127"/>
      <c r="AS16" s="127"/>
      <c r="AU16" s="127"/>
      <c r="AV16" s="127"/>
      <c r="AW16" s="127"/>
      <c r="AX16" s="127"/>
      <c r="AY16" s="127"/>
      <c r="AZ16" s="127"/>
      <c r="BA16" s="127"/>
    </row>
    <row r="17" spans="1:53" x14ac:dyDescent="0.25">
      <c r="A17" s="64">
        <v>6</v>
      </c>
      <c r="B17" s="47"/>
      <c r="C17" s="47"/>
      <c r="D17" s="47"/>
      <c r="E17" s="47"/>
      <c r="F17" s="148">
        <f t="shared" si="0"/>
        <v>0</v>
      </c>
      <c r="G17" s="148"/>
      <c r="H17" s="148">
        <f t="shared" si="1"/>
        <v>0</v>
      </c>
      <c r="I17" s="148"/>
      <c r="J17" s="49" t="str">
        <f t="shared" si="2"/>
        <v/>
      </c>
      <c r="K17" s="140" t="s">
        <v>179</v>
      </c>
      <c r="L17" s="140"/>
      <c r="M17" s="140"/>
      <c r="N17" s="141"/>
      <c r="O17" s="47"/>
      <c r="P17" s="45" t="s">
        <v>12</v>
      </c>
      <c r="Q17" s="49" t="str">
        <f>IF(ISBLANK(O17), IncompleteText, OKText)</f>
        <v>BLANK</v>
      </c>
      <c r="R17" s="133" t="s">
        <v>200</v>
      </c>
      <c r="S17" s="133"/>
      <c r="T17" s="134"/>
      <c r="U17" s="73" t="e">
        <f>VLOOKUP(U14, ContactorsTable, 3, FALSE)</f>
        <v>#N/A</v>
      </c>
      <c r="V17" s="45" t="s">
        <v>2</v>
      </c>
      <c r="W17" s="49" t="str">
        <f>IF(ISERROR(U17), IncompleteText, IF(U17&gt;=U20, OKText, ErrorText))</f>
        <v>BLANK</v>
      </c>
      <c r="X17" s="133" t="s">
        <v>206</v>
      </c>
      <c r="Y17" s="133"/>
      <c r="Z17" s="133"/>
      <c r="AA17" s="134"/>
      <c r="AB17" s="73" t="e">
        <f>VLOOKUP(AB15, InsulationsTable, 5, FALSE)</f>
        <v>#N/A</v>
      </c>
      <c r="AC17" s="45" t="s">
        <v>5</v>
      </c>
      <c r="AD17" s="49" t="str">
        <f>IF(ISERROR(AB17), IncompleteText, IF(AB17 &lt; 90,  ErrorText, OKText))</f>
        <v>BLANK</v>
      </c>
      <c r="AE17" s="43"/>
      <c r="AF17" s="43"/>
      <c r="AG17" s="43"/>
      <c r="AH17" s="43"/>
      <c r="AI17" s="43"/>
      <c r="AJ17" s="43"/>
      <c r="AK17" s="43"/>
      <c r="AM17" s="127"/>
      <c r="AN17" s="127"/>
      <c r="AO17" s="127"/>
      <c r="AP17" s="127"/>
      <c r="AQ17" s="127"/>
      <c r="AR17" s="127"/>
      <c r="AS17" s="127"/>
      <c r="AU17" s="127"/>
      <c r="AV17" s="127"/>
      <c r="AW17" s="127"/>
      <c r="AX17" s="127"/>
      <c r="AY17" s="127"/>
      <c r="AZ17" s="127"/>
      <c r="BA17" s="127"/>
    </row>
    <row r="18" spans="1:53" x14ac:dyDescent="0.25">
      <c r="A18" s="64">
        <v>7</v>
      </c>
      <c r="B18" s="47"/>
      <c r="C18" s="47"/>
      <c r="D18" s="47"/>
      <c r="E18" s="47"/>
      <c r="F18" s="148">
        <f t="shared" si="0"/>
        <v>0</v>
      </c>
      <c r="G18" s="148"/>
      <c r="H18" s="148">
        <f t="shared" si="1"/>
        <v>0</v>
      </c>
      <c r="I18" s="148"/>
      <c r="J18" s="49" t="str">
        <f t="shared" si="2"/>
        <v/>
      </c>
      <c r="K18" s="150" t="s">
        <v>180</v>
      </c>
      <c r="L18" s="150"/>
      <c r="M18" s="150"/>
      <c r="N18" s="151"/>
      <c r="O18" s="108"/>
      <c r="P18" s="108"/>
      <c r="Q18" s="49" t="str">
        <f>IF(ISBLANK(O18), IncompleteText, OKText)</f>
        <v>BLANK</v>
      </c>
      <c r="R18" s="139" t="s">
        <v>201</v>
      </c>
      <c r="S18" s="83"/>
      <c r="T18" s="83"/>
      <c r="U18" s="83"/>
      <c r="V18" s="83"/>
      <c r="W18" s="50"/>
      <c r="X18" s="133" t="s">
        <v>209</v>
      </c>
      <c r="Y18" s="133"/>
      <c r="Z18" s="133"/>
      <c r="AA18" s="134"/>
      <c r="AB18" s="73" t="e">
        <f>VLOOKUP(AB15, InsulationsTable, 6, FALSE)</f>
        <v>#N/A</v>
      </c>
      <c r="AC18" s="45"/>
      <c r="AD18" s="49" t="str">
        <f>IF(ISNA(AB18), IncompleteText, OKText)</f>
        <v>BLANK</v>
      </c>
      <c r="AE18" s="43"/>
      <c r="AF18" s="43"/>
      <c r="AG18" s="43"/>
      <c r="AH18" s="43"/>
      <c r="AI18" s="43"/>
      <c r="AJ18" s="43"/>
      <c r="AK18" s="43"/>
      <c r="AM18" s="127"/>
      <c r="AN18" s="127"/>
      <c r="AO18" s="127"/>
      <c r="AP18" s="127"/>
      <c r="AQ18" s="127"/>
      <c r="AR18" s="127"/>
      <c r="AS18" s="127"/>
      <c r="AU18" s="127"/>
      <c r="AV18" s="127"/>
      <c r="AW18" s="127"/>
      <c r="AX18" s="127"/>
      <c r="AY18" s="127"/>
      <c r="AZ18" s="127"/>
      <c r="BA18" s="127"/>
    </row>
    <row r="19" spans="1:53" x14ac:dyDescent="0.25">
      <c r="A19" s="64">
        <v>8</v>
      </c>
      <c r="B19" s="47"/>
      <c r="C19" s="47"/>
      <c r="D19" s="47"/>
      <c r="E19" s="47"/>
      <c r="F19" s="148">
        <f t="shared" si="0"/>
        <v>0</v>
      </c>
      <c r="G19" s="148"/>
      <c r="H19" s="148">
        <f t="shared" si="1"/>
        <v>0</v>
      </c>
      <c r="I19" s="148"/>
      <c r="J19" s="49" t="str">
        <f t="shared" si="2"/>
        <v/>
      </c>
      <c r="K19" s="140" t="s">
        <v>181</v>
      </c>
      <c r="L19" s="140"/>
      <c r="M19" s="140"/>
      <c r="N19" s="141"/>
      <c r="O19" s="108"/>
      <c r="P19" s="108"/>
      <c r="Q19" s="49" t="str">
        <f>IF(ISBLANK(O19), IncompleteText, OKText)</f>
        <v>BLANK</v>
      </c>
      <c r="R19" s="161" t="s">
        <v>201</v>
      </c>
      <c r="S19" s="161"/>
      <c r="T19" s="162"/>
      <c r="U19" s="135"/>
      <c r="V19" s="136"/>
      <c r="W19" s="49" t="str">
        <f>IF(ISBLANK(U19), IncompleteText, OKText)</f>
        <v>BLANK</v>
      </c>
      <c r="AE19" s="43"/>
      <c r="AF19" s="43"/>
      <c r="AG19" s="43"/>
      <c r="AH19" s="43"/>
      <c r="AI19" s="43"/>
      <c r="AJ19" s="43"/>
      <c r="AK19" s="43"/>
      <c r="AM19" s="127"/>
      <c r="AN19" s="127"/>
      <c r="AO19" s="127"/>
      <c r="AP19" s="127"/>
      <c r="AQ19" s="127"/>
      <c r="AR19" s="127"/>
      <c r="AS19" s="127"/>
      <c r="AU19" s="127"/>
      <c r="AV19" s="127"/>
      <c r="AW19" s="127"/>
      <c r="AX19" s="127"/>
      <c r="AY19" s="127"/>
      <c r="AZ19" s="127"/>
      <c r="BA19" s="127"/>
    </row>
    <row r="20" spans="1:53" x14ac:dyDescent="0.25">
      <c r="A20" s="64">
        <v>9</v>
      </c>
      <c r="B20" s="47"/>
      <c r="C20" s="47"/>
      <c r="D20" s="47"/>
      <c r="E20" s="47"/>
      <c r="F20" s="148">
        <f t="shared" si="0"/>
        <v>0</v>
      </c>
      <c r="G20" s="148"/>
      <c r="H20" s="148">
        <f t="shared" si="1"/>
        <v>0</v>
      </c>
      <c r="I20" s="148"/>
      <c r="J20" s="49" t="str">
        <f t="shared" si="2"/>
        <v/>
      </c>
      <c r="K20" s="164" t="s">
        <v>17</v>
      </c>
      <c r="L20" s="165"/>
      <c r="M20" s="165"/>
      <c r="N20" s="166"/>
      <c r="O20" s="95"/>
      <c r="P20" s="95"/>
      <c r="Q20" s="49" t="str">
        <f>IF(O19="其他 Other", IF(ISBLANK(O20), IncompleteText, OKText), "")</f>
        <v/>
      </c>
      <c r="R20" s="133" t="s">
        <v>202</v>
      </c>
      <c r="S20" s="133"/>
      <c r="T20" s="134"/>
      <c r="U20" s="73" t="e">
        <f>VLOOKUP(U19, FuseTable,3, FALSE)</f>
        <v>#N/A</v>
      </c>
      <c r="V20" s="45" t="s">
        <v>2</v>
      </c>
      <c r="W20" s="50"/>
      <c r="AE20" s="43"/>
      <c r="AF20" s="43"/>
      <c r="AG20" s="43"/>
      <c r="AH20" s="43"/>
      <c r="AI20" s="43"/>
      <c r="AJ20" s="43"/>
      <c r="AK20" s="43"/>
      <c r="AM20" s="127"/>
      <c r="AN20" s="127"/>
      <c r="AO20" s="127"/>
      <c r="AP20" s="127"/>
      <c r="AQ20" s="127"/>
      <c r="AR20" s="127"/>
      <c r="AS20" s="127"/>
      <c r="AU20" s="127"/>
      <c r="AV20" s="127"/>
      <c r="AW20" s="127"/>
      <c r="AX20" s="127"/>
      <c r="AY20" s="127"/>
      <c r="AZ20" s="127"/>
      <c r="BA20" s="127"/>
    </row>
    <row r="21" spans="1:53" x14ac:dyDescent="0.25">
      <c r="A21" s="64">
        <v>10</v>
      </c>
      <c r="B21" s="47"/>
      <c r="C21" s="47"/>
      <c r="D21" s="47"/>
      <c r="E21" s="47"/>
      <c r="F21" s="148">
        <f t="shared" si="0"/>
        <v>0</v>
      </c>
      <c r="G21" s="148"/>
      <c r="H21" s="148">
        <f t="shared" si="1"/>
        <v>0</v>
      </c>
      <c r="I21" s="148"/>
      <c r="J21" s="49" t="str">
        <f t="shared" si="2"/>
        <v/>
      </c>
      <c r="K21" s="133" t="s">
        <v>182</v>
      </c>
      <c r="L21" s="133"/>
      <c r="M21" s="133"/>
      <c r="N21" s="134"/>
      <c r="O21" s="167" t="e">
        <f>VLOOKUP(O18, FuseTable,2, FALSE)</f>
        <v>#N/A</v>
      </c>
      <c r="P21" s="167"/>
      <c r="Q21" s="49" t="str">
        <f>IF(ISERROR(O21), IncompleteText, IF(AND(O21 &lt; MAX(F12:G29), O9 = "集中式 Centralized"),  ErrorText, OKText))</f>
        <v>BLANK</v>
      </c>
      <c r="R21" s="133" t="s">
        <v>203</v>
      </c>
      <c r="S21" s="133"/>
      <c r="T21" s="134"/>
      <c r="U21" s="73" t="e">
        <f>VLOOKUP(U19, FuseTable, 2, FALSE)</f>
        <v>#N/A</v>
      </c>
      <c r="V21" s="45" t="s">
        <v>0</v>
      </c>
      <c r="W21" s="49" t="e">
        <f>IF(U21 &lt; MaxTSVoltage, ErrorText, OKText)</f>
        <v>#N/A</v>
      </c>
      <c r="AE21" s="43"/>
      <c r="AF21" s="43"/>
      <c r="AG21" s="43"/>
      <c r="AH21" s="43"/>
      <c r="AI21" s="43"/>
      <c r="AJ21" s="43"/>
      <c r="AK21" s="43"/>
      <c r="AM21" s="127"/>
      <c r="AN21" s="127"/>
      <c r="AO21" s="127"/>
      <c r="AP21" s="127"/>
      <c r="AQ21" s="127"/>
      <c r="AR21" s="127"/>
      <c r="AS21" s="127"/>
      <c r="AU21" s="127"/>
      <c r="AV21" s="127"/>
      <c r="AW21" s="127"/>
      <c r="AX21" s="127"/>
      <c r="AY21" s="127"/>
      <c r="AZ21" s="127"/>
      <c r="BA21" s="127"/>
    </row>
    <row r="22" spans="1:53" x14ac:dyDescent="0.25">
      <c r="A22" s="64">
        <v>11</v>
      </c>
      <c r="B22" s="47"/>
      <c r="C22" s="47"/>
      <c r="D22" s="47"/>
      <c r="E22" s="47"/>
      <c r="F22" s="148">
        <f t="shared" si="0"/>
        <v>0</v>
      </c>
      <c r="G22" s="148"/>
      <c r="H22" s="148">
        <f t="shared" si="1"/>
        <v>0</v>
      </c>
      <c r="I22" s="148"/>
      <c r="J22" s="49" t="str">
        <f t="shared" si="2"/>
        <v/>
      </c>
      <c r="K22" s="149" t="s">
        <v>18</v>
      </c>
      <c r="L22" s="149"/>
      <c r="M22" s="149"/>
      <c r="N22" s="149"/>
      <c r="O22" s="149"/>
      <c r="P22" s="149"/>
      <c r="Q22" s="50"/>
      <c r="AE22" s="43"/>
      <c r="AF22" s="43"/>
      <c r="AG22" s="43"/>
      <c r="AH22" s="43"/>
      <c r="AI22" s="43"/>
      <c r="AJ22" s="43"/>
      <c r="AK22" s="43"/>
      <c r="AM22" s="127"/>
      <c r="AN22" s="127"/>
      <c r="AO22" s="127"/>
      <c r="AP22" s="127"/>
      <c r="AQ22" s="127"/>
      <c r="AR22" s="127"/>
      <c r="AS22" s="127"/>
      <c r="AU22" s="127"/>
      <c r="AV22" s="127"/>
      <c r="AW22" s="127"/>
      <c r="AX22" s="127"/>
      <c r="AY22" s="127"/>
      <c r="AZ22" s="127"/>
      <c r="BA22" s="127"/>
    </row>
    <row r="23" spans="1:53" x14ac:dyDescent="0.25">
      <c r="A23" s="64">
        <v>12</v>
      </c>
      <c r="B23" s="47"/>
      <c r="C23" s="47"/>
      <c r="D23" s="47"/>
      <c r="E23" s="47"/>
      <c r="F23" s="148">
        <f t="shared" si="0"/>
        <v>0</v>
      </c>
      <c r="G23" s="148"/>
      <c r="H23" s="148">
        <f t="shared" si="1"/>
        <v>0</v>
      </c>
      <c r="I23" s="148"/>
      <c r="J23" s="49" t="str">
        <f t="shared" si="2"/>
        <v/>
      </c>
      <c r="K23" s="133" t="s">
        <v>183</v>
      </c>
      <c r="L23" s="133"/>
      <c r="M23" s="133"/>
      <c r="N23" s="134"/>
      <c r="O23" s="135"/>
      <c r="P23" s="136"/>
      <c r="Q23" s="49" t="str">
        <f>IF(ISBLANK(O23), IncompleteText, OKText)</f>
        <v>BLANK</v>
      </c>
      <c r="AE23" s="43"/>
      <c r="AF23" s="43"/>
      <c r="AG23" s="43"/>
      <c r="AH23" s="43"/>
      <c r="AI23" s="43"/>
      <c r="AJ23" s="43"/>
      <c r="AK23" s="43"/>
      <c r="AM23" s="127"/>
      <c r="AN23" s="127"/>
      <c r="AO23" s="127"/>
      <c r="AP23" s="127"/>
      <c r="AQ23" s="127"/>
      <c r="AR23" s="127"/>
      <c r="AS23" s="127"/>
      <c r="AU23" s="127"/>
      <c r="AV23" s="127"/>
      <c r="AW23" s="127"/>
      <c r="AX23" s="127"/>
      <c r="AY23" s="127"/>
      <c r="AZ23" s="127"/>
      <c r="BA23" s="127"/>
    </row>
    <row r="24" spans="1:53" x14ac:dyDescent="0.25">
      <c r="A24" s="64">
        <v>13</v>
      </c>
      <c r="B24" s="47"/>
      <c r="C24" s="47"/>
      <c r="D24" s="47"/>
      <c r="E24" s="47"/>
      <c r="F24" s="148">
        <f t="shared" si="0"/>
        <v>0</v>
      </c>
      <c r="G24" s="148"/>
      <c r="H24" s="148">
        <f t="shared" si="1"/>
        <v>0</v>
      </c>
      <c r="I24" s="148"/>
      <c r="J24" s="49" t="str">
        <f t="shared" si="2"/>
        <v/>
      </c>
      <c r="K24" s="133" t="s">
        <v>184</v>
      </c>
      <c r="L24" s="133"/>
      <c r="M24" s="133"/>
      <c r="N24" s="134"/>
      <c r="O24" s="47"/>
      <c r="P24" s="45" t="s">
        <v>13</v>
      </c>
      <c r="Q24" s="49" t="str">
        <f>IF(O23="极耳 Cell tabs","",IF(ISBLANK(O24),IncompleteText,IF(O24&lt;10,OKText,ErrorText)))</f>
        <v>BLANK</v>
      </c>
      <c r="AE24" s="43"/>
      <c r="AF24" s="43"/>
      <c r="AG24" s="43"/>
      <c r="AH24" s="43"/>
      <c r="AI24" s="43"/>
      <c r="AJ24" s="43"/>
      <c r="AK24" s="43"/>
      <c r="AM24" s="127"/>
      <c r="AN24" s="127"/>
      <c r="AO24" s="127"/>
      <c r="AP24" s="127"/>
      <c r="AQ24" s="127"/>
      <c r="AR24" s="127"/>
      <c r="AS24" s="127"/>
      <c r="AU24" s="127"/>
      <c r="AV24" s="127"/>
      <c r="AW24" s="127"/>
      <c r="AX24" s="127"/>
      <c r="AY24" s="127"/>
      <c r="AZ24" s="127"/>
      <c r="BA24" s="127"/>
    </row>
    <row r="25" spans="1:53" x14ac:dyDescent="0.25">
      <c r="A25" s="64">
        <v>14</v>
      </c>
      <c r="B25" s="47"/>
      <c r="C25" s="47"/>
      <c r="D25" s="47"/>
      <c r="E25" s="47"/>
      <c r="F25" s="148">
        <f t="shared" si="0"/>
        <v>0</v>
      </c>
      <c r="G25" s="148"/>
      <c r="H25" s="148">
        <f t="shared" si="1"/>
        <v>0</v>
      </c>
      <c r="I25" s="148"/>
      <c r="J25" s="49" t="str">
        <f t="shared" si="2"/>
        <v/>
      </c>
      <c r="K25" s="133" t="s">
        <v>185</v>
      </c>
      <c r="L25" s="133"/>
      <c r="M25" s="133"/>
      <c r="N25" s="134"/>
      <c r="O25" s="47"/>
      <c r="P25" s="45" t="s">
        <v>14</v>
      </c>
      <c r="Q25" s="49" t="str">
        <f>IF(ISBLANK(O25), IncompleteText, OKText)</f>
        <v>BLANK</v>
      </c>
      <c r="AE25" s="43"/>
      <c r="AF25" s="43"/>
      <c r="AG25" s="43"/>
      <c r="AH25" s="43"/>
      <c r="AI25" s="43"/>
      <c r="AJ25" s="43"/>
      <c r="AK25" s="43"/>
      <c r="AM25" s="127"/>
      <c r="AN25" s="127"/>
      <c r="AO25" s="127"/>
      <c r="AP25" s="127"/>
      <c r="AQ25" s="127"/>
      <c r="AR25" s="127"/>
      <c r="AS25" s="127"/>
      <c r="AU25" s="127"/>
      <c r="AV25" s="127"/>
      <c r="AW25" s="127"/>
      <c r="AX25" s="127"/>
      <c r="AY25" s="127"/>
      <c r="AZ25" s="127"/>
      <c r="BA25" s="127"/>
    </row>
    <row r="26" spans="1:53" x14ac:dyDescent="0.25">
      <c r="A26" s="64">
        <v>15</v>
      </c>
      <c r="B26" s="47"/>
      <c r="C26" s="47"/>
      <c r="D26" s="47"/>
      <c r="E26" s="47"/>
      <c r="F26" s="148">
        <f t="shared" si="0"/>
        <v>0</v>
      </c>
      <c r="G26" s="148"/>
      <c r="H26" s="148">
        <f t="shared" si="1"/>
        <v>0</v>
      </c>
      <c r="I26" s="148"/>
      <c r="J26" s="49" t="str">
        <f t="shared" si="2"/>
        <v/>
      </c>
      <c r="K26" s="133" t="s">
        <v>186</v>
      </c>
      <c r="L26" s="133"/>
      <c r="M26" s="133"/>
      <c r="N26" s="134"/>
      <c r="O26" s="135"/>
      <c r="P26" s="136"/>
      <c r="Q26" s="50"/>
      <c r="AE26" s="43"/>
      <c r="AF26" s="43"/>
      <c r="AG26" s="43"/>
      <c r="AH26" s="43"/>
      <c r="AI26" s="43"/>
      <c r="AJ26" s="43"/>
      <c r="AK26" s="43"/>
      <c r="AM26" s="127"/>
      <c r="AN26" s="127"/>
      <c r="AO26" s="127"/>
      <c r="AP26" s="127"/>
      <c r="AQ26" s="127"/>
      <c r="AR26" s="127"/>
      <c r="AS26" s="127"/>
      <c r="AU26" s="127"/>
      <c r="AV26" s="127"/>
      <c r="AW26" s="127"/>
      <c r="AX26" s="127"/>
      <c r="AY26" s="127"/>
      <c r="AZ26" s="127"/>
      <c r="BA26" s="127"/>
    </row>
    <row r="27" spans="1:53" x14ac:dyDescent="0.25">
      <c r="A27" s="64">
        <v>16</v>
      </c>
      <c r="B27" s="47"/>
      <c r="C27" s="47"/>
      <c r="D27" s="47"/>
      <c r="E27" s="47"/>
      <c r="F27" s="148">
        <f t="shared" si="0"/>
        <v>0</v>
      </c>
      <c r="G27" s="148"/>
      <c r="H27" s="148">
        <f t="shared" si="1"/>
        <v>0</v>
      </c>
      <c r="I27" s="148"/>
      <c r="J27" s="49" t="str">
        <f t="shared" si="2"/>
        <v/>
      </c>
      <c r="K27" s="133" t="s">
        <v>187</v>
      </c>
      <c r="L27" s="133"/>
      <c r="M27" s="133"/>
      <c r="N27" s="134"/>
      <c r="O27" s="135"/>
      <c r="P27" s="136"/>
      <c r="Q27" s="49" t="str">
        <f>IF(ISBLANK($O$26), "", IF(ISBLANK(O27), IncompleteText, OKText))</f>
        <v/>
      </c>
      <c r="AM27" s="127"/>
      <c r="AN27" s="127"/>
      <c r="AO27" s="127"/>
      <c r="AP27" s="127"/>
      <c r="AQ27" s="127"/>
      <c r="AR27" s="127"/>
      <c r="AS27" s="127"/>
      <c r="AU27" s="127"/>
      <c r="AV27" s="127"/>
      <c r="AW27" s="127"/>
      <c r="AX27" s="127"/>
      <c r="AY27" s="127"/>
      <c r="AZ27" s="127"/>
      <c r="BA27" s="127"/>
    </row>
    <row r="28" spans="1:53" x14ac:dyDescent="0.25">
      <c r="A28" s="64">
        <v>17</v>
      </c>
      <c r="B28" s="47"/>
      <c r="C28" s="47"/>
      <c r="D28" s="47"/>
      <c r="E28" s="47"/>
      <c r="F28" s="148">
        <f t="shared" si="0"/>
        <v>0</v>
      </c>
      <c r="G28" s="148"/>
      <c r="H28" s="148">
        <f t="shared" si="1"/>
        <v>0</v>
      </c>
      <c r="I28" s="148"/>
      <c r="J28" s="49" t="str">
        <f t="shared" si="2"/>
        <v/>
      </c>
      <c r="K28" s="133" t="s">
        <v>188</v>
      </c>
      <c r="L28" s="133"/>
      <c r="M28" s="133"/>
      <c r="N28" s="134"/>
      <c r="O28" s="47"/>
      <c r="P28" s="45" t="s">
        <v>16</v>
      </c>
      <c r="Q28" s="49" t="str">
        <f>IF(ISBLANK($O$26), "", IF(ISBLANK(O28), IncompleteText, OKText))</f>
        <v/>
      </c>
      <c r="AM28" s="127"/>
      <c r="AN28" s="127"/>
      <c r="AO28" s="127"/>
      <c r="AP28" s="127"/>
      <c r="AQ28" s="127"/>
      <c r="AR28" s="127"/>
      <c r="AS28" s="127"/>
      <c r="AU28" s="127"/>
      <c r="AV28" s="127"/>
      <c r="AW28" s="127"/>
      <c r="AX28" s="127"/>
      <c r="AY28" s="127"/>
      <c r="AZ28" s="127"/>
      <c r="BA28" s="127"/>
    </row>
    <row r="29" spans="1:53" x14ac:dyDescent="0.25">
      <c r="A29" s="64">
        <v>18</v>
      </c>
      <c r="B29" s="47"/>
      <c r="C29" s="47"/>
      <c r="D29" s="47"/>
      <c r="E29" s="47"/>
      <c r="F29" s="148">
        <f t="shared" si="0"/>
        <v>0</v>
      </c>
      <c r="G29" s="148"/>
      <c r="H29" s="148">
        <f t="shared" si="1"/>
        <v>0</v>
      </c>
      <c r="I29" s="148"/>
      <c r="J29" s="49" t="str">
        <f t="shared" si="2"/>
        <v/>
      </c>
      <c r="K29" s="133" t="s">
        <v>189</v>
      </c>
      <c r="L29" s="133"/>
      <c r="M29" s="133"/>
      <c r="N29" s="134"/>
      <c r="O29" s="47"/>
      <c r="P29" s="45" t="s">
        <v>13</v>
      </c>
      <c r="Q29" s="49" t="str">
        <f>IF(ISBLANK($O$26), "", IF(ISBLANK(O29), IncompleteText, OKText))</f>
        <v/>
      </c>
      <c r="AM29" s="127"/>
      <c r="AN29" s="127"/>
      <c r="AO29" s="127"/>
      <c r="AP29" s="127"/>
      <c r="AQ29" s="127"/>
      <c r="AR29" s="127"/>
      <c r="AS29" s="127"/>
      <c r="AU29" s="127"/>
      <c r="AV29" s="127"/>
      <c r="AW29" s="127"/>
      <c r="AX29" s="127"/>
      <c r="AY29" s="127"/>
      <c r="AZ29" s="127"/>
      <c r="BA29" s="127"/>
    </row>
    <row r="30" spans="1:53" x14ac:dyDescent="0.25">
      <c r="K30" s="133" t="s">
        <v>190</v>
      </c>
      <c r="L30" s="133"/>
      <c r="M30" s="133"/>
      <c r="N30" s="134"/>
      <c r="O30" s="73" t="e">
        <f>SUMIF(J12:J29, "=OK", D12:D29)*CellsPerTempSensor/TotalCells*100</f>
        <v>#DIV/0!</v>
      </c>
      <c r="P30" s="45" t="s">
        <v>15</v>
      </c>
      <c r="Q30" s="49" t="str">
        <f>IF(ISERROR(O30),IncompleteText,IF(O30&lt;20,ErrorText,OKText))</f>
        <v>BLANK</v>
      </c>
    </row>
    <row r="33" spans="1:53" ht="13.95" customHeight="1" x14ac:dyDescent="0.25">
      <c r="A33" s="115" t="s">
        <v>211</v>
      </c>
      <c r="B33" s="115"/>
      <c r="C33" s="115"/>
      <c r="D33" s="115"/>
      <c r="E33" s="115"/>
      <c r="F33" s="115"/>
      <c r="G33" s="115"/>
      <c r="H33" s="115"/>
      <c r="J33" s="127" t="s">
        <v>218</v>
      </c>
      <c r="K33" s="115"/>
      <c r="L33" s="115"/>
      <c r="M33" s="115"/>
      <c r="N33" s="115"/>
      <c r="O33" s="115"/>
      <c r="P33" s="115"/>
      <c r="Q33" s="115"/>
      <c r="S33" s="115" t="s">
        <v>233</v>
      </c>
      <c r="T33" s="115"/>
      <c r="U33" s="115"/>
      <c r="V33" s="115"/>
      <c r="W33" s="115"/>
      <c r="X33" s="115"/>
      <c r="Y33" s="115"/>
      <c r="Z33" s="115"/>
      <c r="AB33" s="168" t="s">
        <v>235</v>
      </c>
      <c r="AC33" s="169"/>
      <c r="AD33" s="169"/>
      <c r="AE33" s="169"/>
      <c r="AF33" s="169"/>
      <c r="AG33" s="169"/>
      <c r="AH33" s="169"/>
      <c r="AI33" s="170"/>
      <c r="AK33" s="177" t="s">
        <v>237</v>
      </c>
      <c r="AL33" s="178"/>
      <c r="AM33" s="178"/>
      <c r="AN33" s="178"/>
      <c r="AO33" s="178"/>
      <c r="AP33" s="178"/>
      <c r="AQ33" s="178"/>
      <c r="AR33" s="179"/>
      <c r="AT33" s="115" t="s">
        <v>240</v>
      </c>
      <c r="AU33" s="115"/>
      <c r="AV33" s="115"/>
      <c r="AW33" s="115"/>
      <c r="AX33" s="115"/>
      <c r="AY33" s="115"/>
      <c r="AZ33" s="115"/>
      <c r="BA33" s="115"/>
    </row>
    <row r="34" spans="1:53" x14ac:dyDescent="0.25">
      <c r="A34" s="115"/>
      <c r="B34" s="115"/>
      <c r="C34" s="115"/>
      <c r="D34" s="115"/>
      <c r="E34" s="115"/>
      <c r="F34" s="115"/>
      <c r="G34" s="115"/>
      <c r="H34" s="115"/>
      <c r="J34" s="115"/>
      <c r="K34" s="115"/>
      <c r="L34" s="115"/>
      <c r="M34" s="115"/>
      <c r="N34" s="115"/>
      <c r="O34" s="115"/>
      <c r="P34" s="115"/>
      <c r="Q34" s="115"/>
      <c r="S34" s="115"/>
      <c r="T34" s="115"/>
      <c r="U34" s="115"/>
      <c r="V34" s="115"/>
      <c r="W34" s="115"/>
      <c r="X34" s="115"/>
      <c r="Y34" s="115"/>
      <c r="Z34" s="115"/>
      <c r="AB34" s="171"/>
      <c r="AC34" s="172"/>
      <c r="AD34" s="172"/>
      <c r="AE34" s="172"/>
      <c r="AF34" s="172"/>
      <c r="AG34" s="172"/>
      <c r="AH34" s="172"/>
      <c r="AI34" s="173"/>
      <c r="AK34" s="180"/>
      <c r="AL34" s="181"/>
      <c r="AM34" s="181"/>
      <c r="AN34" s="181"/>
      <c r="AO34" s="181"/>
      <c r="AP34" s="181"/>
      <c r="AQ34" s="181"/>
      <c r="AR34" s="182"/>
      <c r="AT34" s="115"/>
      <c r="AU34" s="115"/>
      <c r="AV34" s="115"/>
      <c r="AW34" s="115"/>
      <c r="AX34" s="115"/>
      <c r="AY34" s="115"/>
      <c r="AZ34" s="115"/>
      <c r="BA34" s="115"/>
    </row>
    <row r="35" spans="1:53" x14ac:dyDescent="0.25">
      <c r="A35" s="115"/>
      <c r="B35" s="115"/>
      <c r="C35" s="115"/>
      <c r="D35" s="115"/>
      <c r="E35" s="115"/>
      <c r="F35" s="115"/>
      <c r="G35" s="115"/>
      <c r="H35" s="115"/>
      <c r="J35" s="115"/>
      <c r="K35" s="115"/>
      <c r="L35" s="115"/>
      <c r="M35" s="115"/>
      <c r="N35" s="115"/>
      <c r="O35" s="115"/>
      <c r="P35" s="115"/>
      <c r="Q35" s="115"/>
      <c r="S35" s="115"/>
      <c r="T35" s="115"/>
      <c r="U35" s="115"/>
      <c r="V35" s="115"/>
      <c r="W35" s="115"/>
      <c r="X35" s="115"/>
      <c r="Y35" s="115"/>
      <c r="Z35" s="115"/>
      <c r="AB35" s="171"/>
      <c r="AC35" s="172"/>
      <c r="AD35" s="172"/>
      <c r="AE35" s="172"/>
      <c r="AF35" s="172"/>
      <c r="AG35" s="172"/>
      <c r="AH35" s="172"/>
      <c r="AI35" s="173"/>
      <c r="AK35" s="180"/>
      <c r="AL35" s="181"/>
      <c r="AM35" s="181"/>
      <c r="AN35" s="181"/>
      <c r="AO35" s="181"/>
      <c r="AP35" s="181"/>
      <c r="AQ35" s="181"/>
      <c r="AR35" s="182"/>
      <c r="AT35" s="115"/>
      <c r="AU35" s="115"/>
      <c r="AV35" s="115"/>
      <c r="AW35" s="115"/>
      <c r="AX35" s="115"/>
      <c r="AY35" s="115"/>
      <c r="AZ35" s="115"/>
      <c r="BA35" s="115"/>
    </row>
    <row r="36" spans="1:53" x14ac:dyDescent="0.25">
      <c r="A36" s="115"/>
      <c r="B36" s="115"/>
      <c r="C36" s="115"/>
      <c r="D36" s="115"/>
      <c r="E36" s="115"/>
      <c r="F36" s="115"/>
      <c r="G36" s="115"/>
      <c r="H36" s="115"/>
      <c r="J36" s="115"/>
      <c r="K36" s="115"/>
      <c r="L36" s="115"/>
      <c r="M36" s="115"/>
      <c r="N36" s="115"/>
      <c r="O36" s="115"/>
      <c r="P36" s="115"/>
      <c r="Q36" s="115"/>
      <c r="S36" s="115"/>
      <c r="T36" s="115"/>
      <c r="U36" s="115"/>
      <c r="V36" s="115"/>
      <c r="W36" s="115"/>
      <c r="X36" s="115"/>
      <c r="Y36" s="115"/>
      <c r="Z36" s="115"/>
      <c r="AB36" s="171"/>
      <c r="AC36" s="172"/>
      <c r="AD36" s="172"/>
      <c r="AE36" s="172"/>
      <c r="AF36" s="172"/>
      <c r="AG36" s="172"/>
      <c r="AH36" s="172"/>
      <c r="AI36" s="173"/>
      <c r="AK36" s="180"/>
      <c r="AL36" s="181"/>
      <c r="AM36" s="181"/>
      <c r="AN36" s="181"/>
      <c r="AO36" s="181"/>
      <c r="AP36" s="181"/>
      <c r="AQ36" s="181"/>
      <c r="AR36" s="182"/>
      <c r="AT36" s="115"/>
      <c r="AU36" s="115"/>
      <c r="AV36" s="115"/>
      <c r="AW36" s="115"/>
      <c r="AX36" s="115"/>
      <c r="AY36" s="115"/>
      <c r="AZ36" s="115"/>
      <c r="BA36" s="115"/>
    </row>
    <row r="37" spans="1:53" x14ac:dyDescent="0.25">
      <c r="A37" s="115"/>
      <c r="B37" s="115"/>
      <c r="C37" s="115"/>
      <c r="D37" s="115"/>
      <c r="E37" s="115"/>
      <c r="F37" s="115"/>
      <c r="G37" s="115"/>
      <c r="H37" s="115"/>
      <c r="J37" s="115"/>
      <c r="K37" s="115"/>
      <c r="L37" s="115"/>
      <c r="M37" s="115"/>
      <c r="N37" s="115"/>
      <c r="O37" s="115"/>
      <c r="P37" s="115"/>
      <c r="Q37" s="115"/>
      <c r="S37" s="115"/>
      <c r="T37" s="115"/>
      <c r="U37" s="115"/>
      <c r="V37" s="115"/>
      <c r="W37" s="115"/>
      <c r="X37" s="115"/>
      <c r="Y37" s="115"/>
      <c r="Z37" s="115"/>
      <c r="AB37" s="171"/>
      <c r="AC37" s="172"/>
      <c r="AD37" s="172"/>
      <c r="AE37" s="172"/>
      <c r="AF37" s="172"/>
      <c r="AG37" s="172"/>
      <c r="AH37" s="172"/>
      <c r="AI37" s="173"/>
      <c r="AK37" s="180"/>
      <c r="AL37" s="181"/>
      <c r="AM37" s="181"/>
      <c r="AN37" s="181"/>
      <c r="AO37" s="181"/>
      <c r="AP37" s="181"/>
      <c r="AQ37" s="181"/>
      <c r="AR37" s="182"/>
      <c r="AT37" s="115"/>
      <c r="AU37" s="115"/>
      <c r="AV37" s="115"/>
      <c r="AW37" s="115"/>
      <c r="AX37" s="115"/>
      <c r="AY37" s="115"/>
      <c r="AZ37" s="115"/>
      <c r="BA37" s="115"/>
    </row>
    <row r="38" spans="1:53" x14ac:dyDescent="0.25">
      <c r="A38" s="115"/>
      <c r="B38" s="115"/>
      <c r="C38" s="115"/>
      <c r="D38" s="115"/>
      <c r="E38" s="115"/>
      <c r="F38" s="115"/>
      <c r="G38" s="115"/>
      <c r="H38" s="115"/>
      <c r="J38" s="115"/>
      <c r="K38" s="115"/>
      <c r="L38" s="115"/>
      <c r="M38" s="115"/>
      <c r="N38" s="115"/>
      <c r="O38" s="115"/>
      <c r="P38" s="115"/>
      <c r="Q38" s="115"/>
      <c r="S38" s="115"/>
      <c r="T38" s="115"/>
      <c r="U38" s="115"/>
      <c r="V38" s="115"/>
      <c r="W38" s="115"/>
      <c r="X38" s="115"/>
      <c r="Y38" s="115"/>
      <c r="Z38" s="115"/>
      <c r="AB38" s="171"/>
      <c r="AC38" s="172"/>
      <c r="AD38" s="172"/>
      <c r="AE38" s="172"/>
      <c r="AF38" s="172"/>
      <c r="AG38" s="172"/>
      <c r="AH38" s="172"/>
      <c r="AI38" s="173"/>
      <c r="AK38" s="180"/>
      <c r="AL38" s="181"/>
      <c r="AM38" s="181"/>
      <c r="AN38" s="181"/>
      <c r="AO38" s="181"/>
      <c r="AP38" s="181"/>
      <c r="AQ38" s="181"/>
      <c r="AR38" s="182"/>
      <c r="AT38" s="115"/>
      <c r="AU38" s="115"/>
      <c r="AV38" s="115"/>
      <c r="AW38" s="115"/>
      <c r="AX38" s="115"/>
      <c r="AY38" s="115"/>
      <c r="AZ38" s="115"/>
      <c r="BA38" s="115"/>
    </row>
    <row r="39" spans="1:53" x14ac:dyDescent="0.25">
      <c r="A39" s="115"/>
      <c r="B39" s="115"/>
      <c r="C39" s="115"/>
      <c r="D39" s="115"/>
      <c r="E39" s="115"/>
      <c r="F39" s="115"/>
      <c r="G39" s="115"/>
      <c r="H39" s="115"/>
      <c r="J39" s="115"/>
      <c r="K39" s="115"/>
      <c r="L39" s="115"/>
      <c r="M39" s="115"/>
      <c r="N39" s="115"/>
      <c r="O39" s="115"/>
      <c r="P39" s="115"/>
      <c r="Q39" s="115"/>
      <c r="S39" s="115"/>
      <c r="T39" s="115"/>
      <c r="U39" s="115"/>
      <c r="V39" s="115"/>
      <c r="W39" s="115"/>
      <c r="X39" s="115"/>
      <c r="Y39" s="115"/>
      <c r="Z39" s="115"/>
      <c r="AB39" s="171"/>
      <c r="AC39" s="172"/>
      <c r="AD39" s="172"/>
      <c r="AE39" s="172"/>
      <c r="AF39" s="172"/>
      <c r="AG39" s="172"/>
      <c r="AH39" s="172"/>
      <c r="AI39" s="173"/>
      <c r="AK39" s="180"/>
      <c r="AL39" s="181"/>
      <c r="AM39" s="181"/>
      <c r="AN39" s="181"/>
      <c r="AO39" s="181"/>
      <c r="AP39" s="181"/>
      <c r="AQ39" s="181"/>
      <c r="AR39" s="182"/>
      <c r="AT39" s="115"/>
      <c r="AU39" s="115"/>
      <c r="AV39" s="115"/>
      <c r="AW39" s="115"/>
      <c r="AX39" s="115"/>
      <c r="AY39" s="115"/>
      <c r="AZ39" s="115"/>
      <c r="BA39" s="115"/>
    </row>
    <row r="40" spans="1:53" x14ac:dyDescent="0.25">
      <c r="A40" s="115"/>
      <c r="B40" s="115"/>
      <c r="C40" s="115"/>
      <c r="D40" s="115"/>
      <c r="E40" s="115"/>
      <c r="F40" s="115"/>
      <c r="G40" s="115"/>
      <c r="H40" s="115"/>
      <c r="J40" s="115"/>
      <c r="K40" s="115"/>
      <c r="L40" s="115"/>
      <c r="M40" s="115"/>
      <c r="N40" s="115"/>
      <c r="O40" s="115"/>
      <c r="P40" s="115"/>
      <c r="Q40" s="115"/>
      <c r="S40" s="115"/>
      <c r="T40" s="115"/>
      <c r="U40" s="115"/>
      <c r="V40" s="115"/>
      <c r="W40" s="115"/>
      <c r="X40" s="115"/>
      <c r="Y40" s="115"/>
      <c r="Z40" s="115"/>
      <c r="AB40" s="171"/>
      <c r="AC40" s="172"/>
      <c r="AD40" s="172"/>
      <c r="AE40" s="172"/>
      <c r="AF40" s="172"/>
      <c r="AG40" s="172"/>
      <c r="AH40" s="172"/>
      <c r="AI40" s="173"/>
      <c r="AK40" s="180"/>
      <c r="AL40" s="181"/>
      <c r="AM40" s="181"/>
      <c r="AN40" s="181"/>
      <c r="AO40" s="181"/>
      <c r="AP40" s="181"/>
      <c r="AQ40" s="181"/>
      <c r="AR40" s="182"/>
      <c r="AT40" s="115"/>
      <c r="AU40" s="115"/>
      <c r="AV40" s="115"/>
      <c r="AW40" s="115"/>
      <c r="AX40" s="115"/>
      <c r="AY40" s="115"/>
      <c r="AZ40" s="115"/>
      <c r="BA40" s="115"/>
    </row>
    <row r="41" spans="1:53" x14ac:dyDescent="0.25">
      <c r="A41" s="115"/>
      <c r="B41" s="115"/>
      <c r="C41" s="115"/>
      <c r="D41" s="115"/>
      <c r="E41" s="115"/>
      <c r="F41" s="115"/>
      <c r="G41" s="115"/>
      <c r="H41" s="115"/>
      <c r="J41" s="115"/>
      <c r="K41" s="115"/>
      <c r="L41" s="115"/>
      <c r="M41" s="115"/>
      <c r="N41" s="115"/>
      <c r="O41" s="115"/>
      <c r="P41" s="115"/>
      <c r="Q41" s="115"/>
      <c r="S41" s="115"/>
      <c r="T41" s="115"/>
      <c r="U41" s="115"/>
      <c r="V41" s="115"/>
      <c r="W41" s="115"/>
      <c r="X41" s="115"/>
      <c r="Y41" s="115"/>
      <c r="Z41" s="115"/>
      <c r="AB41" s="171"/>
      <c r="AC41" s="172"/>
      <c r="AD41" s="172"/>
      <c r="AE41" s="172"/>
      <c r="AF41" s="172"/>
      <c r="AG41" s="172"/>
      <c r="AH41" s="172"/>
      <c r="AI41" s="173"/>
      <c r="AK41" s="180"/>
      <c r="AL41" s="181"/>
      <c r="AM41" s="181"/>
      <c r="AN41" s="181"/>
      <c r="AO41" s="181"/>
      <c r="AP41" s="181"/>
      <c r="AQ41" s="181"/>
      <c r="AR41" s="182"/>
      <c r="AT41" s="115"/>
      <c r="AU41" s="115"/>
      <c r="AV41" s="115"/>
      <c r="AW41" s="115"/>
      <c r="AX41" s="115"/>
      <c r="AY41" s="115"/>
      <c r="AZ41" s="115"/>
      <c r="BA41" s="115"/>
    </row>
    <row r="42" spans="1:53" x14ac:dyDescent="0.25">
      <c r="A42" s="115"/>
      <c r="B42" s="115"/>
      <c r="C42" s="115"/>
      <c r="D42" s="115"/>
      <c r="E42" s="115"/>
      <c r="F42" s="115"/>
      <c r="G42" s="115"/>
      <c r="H42" s="115"/>
      <c r="J42" s="115"/>
      <c r="K42" s="115"/>
      <c r="L42" s="115"/>
      <c r="M42" s="115"/>
      <c r="N42" s="115"/>
      <c r="O42" s="115"/>
      <c r="P42" s="115"/>
      <c r="Q42" s="115"/>
      <c r="S42" s="115"/>
      <c r="T42" s="115"/>
      <c r="U42" s="115"/>
      <c r="V42" s="115"/>
      <c r="W42" s="115"/>
      <c r="X42" s="115"/>
      <c r="Y42" s="115"/>
      <c r="Z42" s="115"/>
      <c r="AB42" s="171"/>
      <c r="AC42" s="172"/>
      <c r="AD42" s="172"/>
      <c r="AE42" s="172"/>
      <c r="AF42" s="172"/>
      <c r="AG42" s="172"/>
      <c r="AH42" s="172"/>
      <c r="AI42" s="173"/>
      <c r="AK42" s="180"/>
      <c r="AL42" s="181"/>
      <c r="AM42" s="181"/>
      <c r="AN42" s="181"/>
      <c r="AO42" s="181"/>
      <c r="AP42" s="181"/>
      <c r="AQ42" s="181"/>
      <c r="AR42" s="182"/>
      <c r="AT42" s="115"/>
      <c r="AU42" s="115"/>
      <c r="AV42" s="115"/>
      <c r="AW42" s="115"/>
      <c r="AX42" s="115"/>
      <c r="AY42" s="115"/>
      <c r="AZ42" s="115"/>
      <c r="BA42" s="115"/>
    </row>
    <row r="43" spans="1:53" x14ac:dyDescent="0.25">
      <c r="A43" s="115"/>
      <c r="B43" s="115"/>
      <c r="C43" s="115"/>
      <c r="D43" s="115"/>
      <c r="E43" s="115"/>
      <c r="F43" s="115"/>
      <c r="G43" s="115"/>
      <c r="H43" s="115"/>
      <c r="J43" s="115"/>
      <c r="K43" s="115"/>
      <c r="L43" s="115"/>
      <c r="M43" s="115"/>
      <c r="N43" s="115"/>
      <c r="O43" s="115"/>
      <c r="P43" s="115"/>
      <c r="Q43" s="115"/>
      <c r="S43" s="115"/>
      <c r="T43" s="115"/>
      <c r="U43" s="115"/>
      <c r="V43" s="115"/>
      <c r="W43" s="115"/>
      <c r="X43" s="115"/>
      <c r="Y43" s="115"/>
      <c r="Z43" s="115"/>
      <c r="AB43" s="171"/>
      <c r="AC43" s="172"/>
      <c r="AD43" s="172"/>
      <c r="AE43" s="172"/>
      <c r="AF43" s="172"/>
      <c r="AG43" s="172"/>
      <c r="AH43" s="172"/>
      <c r="AI43" s="173"/>
      <c r="AK43" s="180"/>
      <c r="AL43" s="181"/>
      <c r="AM43" s="181"/>
      <c r="AN43" s="181"/>
      <c r="AO43" s="181"/>
      <c r="AP43" s="181"/>
      <c r="AQ43" s="181"/>
      <c r="AR43" s="182"/>
      <c r="AT43" s="115"/>
      <c r="AU43" s="115"/>
      <c r="AV43" s="115"/>
      <c r="AW43" s="115"/>
      <c r="AX43" s="115"/>
      <c r="AY43" s="115"/>
      <c r="AZ43" s="115"/>
      <c r="BA43" s="115"/>
    </row>
    <row r="44" spans="1:53" x14ac:dyDescent="0.25">
      <c r="A44" s="115"/>
      <c r="B44" s="115"/>
      <c r="C44" s="115"/>
      <c r="D44" s="115"/>
      <c r="E44" s="115"/>
      <c r="F44" s="115"/>
      <c r="G44" s="115"/>
      <c r="H44" s="115"/>
      <c r="J44" s="115"/>
      <c r="K44" s="115"/>
      <c r="L44" s="115"/>
      <c r="M44" s="115"/>
      <c r="N44" s="115"/>
      <c r="O44" s="115"/>
      <c r="P44" s="115"/>
      <c r="Q44" s="115"/>
      <c r="S44" s="115"/>
      <c r="T44" s="115"/>
      <c r="U44" s="115"/>
      <c r="V44" s="115"/>
      <c r="W44" s="115"/>
      <c r="X44" s="115"/>
      <c r="Y44" s="115"/>
      <c r="Z44" s="115"/>
      <c r="AB44" s="171"/>
      <c r="AC44" s="172"/>
      <c r="AD44" s="172"/>
      <c r="AE44" s="172"/>
      <c r="AF44" s="172"/>
      <c r="AG44" s="172"/>
      <c r="AH44" s="172"/>
      <c r="AI44" s="173"/>
      <c r="AK44" s="180"/>
      <c r="AL44" s="181"/>
      <c r="AM44" s="181"/>
      <c r="AN44" s="181"/>
      <c r="AO44" s="181"/>
      <c r="AP44" s="181"/>
      <c r="AQ44" s="181"/>
      <c r="AR44" s="182"/>
      <c r="AT44" s="115"/>
      <c r="AU44" s="115"/>
      <c r="AV44" s="115"/>
      <c r="AW44" s="115"/>
      <c r="AX44" s="115"/>
      <c r="AY44" s="115"/>
      <c r="AZ44" s="115"/>
      <c r="BA44" s="115"/>
    </row>
    <row r="45" spans="1:53" x14ac:dyDescent="0.25">
      <c r="A45" s="115"/>
      <c r="B45" s="115"/>
      <c r="C45" s="115"/>
      <c r="D45" s="115"/>
      <c r="E45" s="115"/>
      <c r="F45" s="115"/>
      <c r="G45" s="115"/>
      <c r="H45" s="115"/>
      <c r="J45" s="115"/>
      <c r="K45" s="115"/>
      <c r="L45" s="115"/>
      <c r="M45" s="115"/>
      <c r="N45" s="115"/>
      <c r="O45" s="115"/>
      <c r="P45" s="115"/>
      <c r="Q45" s="115"/>
      <c r="S45" s="115"/>
      <c r="T45" s="115"/>
      <c r="U45" s="115"/>
      <c r="V45" s="115"/>
      <c r="W45" s="115"/>
      <c r="X45" s="115"/>
      <c r="Y45" s="115"/>
      <c r="Z45" s="115"/>
      <c r="AB45" s="171"/>
      <c r="AC45" s="172"/>
      <c r="AD45" s="172"/>
      <c r="AE45" s="172"/>
      <c r="AF45" s="172"/>
      <c r="AG45" s="172"/>
      <c r="AH45" s="172"/>
      <c r="AI45" s="173"/>
      <c r="AK45" s="180"/>
      <c r="AL45" s="181"/>
      <c r="AM45" s="181"/>
      <c r="AN45" s="181"/>
      <c r="AO45" s="181"/>
      <c r="AP45" s="181"/>
      <c r="AQ45" s="181"/>
      <c r="AR45" s="182"/>
      <c r="AT45" s="115"/>
      <c r="AU45" s="115"/>
      <c r="AV45" s="115"/>
      <c r="AW45" s="115"/>
      <c r="AX45" s="115"/>
      <c r="AY45" s="115"/>
      <c r="AZ45" s="115"/>
      <c r="BA45" s="115"/>
    </row>
    <row r="46" spans="1:53" x14ac:dyDescent="0.25">
      <c r="A46" s="115"/>
      <c r="B46" s="115"/>
      <c r="C46" s="115"/>
      <c r="D46" s="115"/>
      <c r="E46" s="115"/>
      <c r="F46" s="115"/>
      <c r="G46" s="115"/>
      <c r="H46" s="115"/>
      <c r="J46" s="115"/>
      <c r="K46" s="115"/>
      <c r="L46" s="115"/>
      <c r="M46" s="115"/>
      <c r="N46" s="115"/>
      <c r="O46" s="115"/>
      <c r="P46" s="115"/>
      <c r="Q46" s="115"/>
      <c r="S46" s="115"/>
      <c r="T46" s="115"/>
      <c r="U46" s="115"/>
      <c r="V46" s="115"/>
      <c r="W46" s="115"/>
      <c r="X46" s="115"/>
      <c r="Y46" s="115"/>
      <c r="Z46" s="115"/>
      <c r="AB46" s="171"/>
      <c r="AC46" s="172"/>
      <c r="AD46" s="172"/>
      <c r="AE46" s="172"/>
      <c r="AF46" s="172"/>
      <c r="AG46" s="172"/>
      <c r="AH46" s="172"/>
      <c r="AI46" s="173"/>
      <c r="AK46" s="180"/>
      <c r="AL46" s="181"/>
      <c r="AM46" s="181"/>
      <c r="AN46" s="181"/>
      <c r="AO46" s="181"/>
      <c r="AP46" s="181"/>
      <c r="AQ46" s="181"/>
      <c r="AR46" s="182"/>
      <c r="AT46" s="115"/>
      <c r="AU46" s="115"/>
      <c r="AV46" s="115"/>
      <c r="AW46" s="115"/>
      <c r="AX46" s="115"/>
      <c r="AY46" s="115"/>
      <c r="AZ46" s="115"/>
      <c r="BA46" s="115"/>
    </row>
    <row r="47" spans="1:53" x14ac:dyDescent="0.25">
      <c r="A47" s="115"/>
      <c r="B47" s="115"/>
      <c r="C47" s="115"/>
      <c r="D47" s="115"/>
      <c r="E47" s="115"/>
      <c r="F47" s="115"/>
      <c r="G47" s="115"/>
      <c r="H47" s="115"/>
      <c r="J47" s="115"/>
      <c r="K47" s="115"/>
      <c r="L47" s="115"/>
      <c r="M47" s="115"/>
      <c r="N47" s="115"/>
      <c r="O47" s="115"/>
      <c r="P47" s="115"/>
      <c r="Q47" s="115"/>
      <c r="S47" s="115"/>
      <c r="T47" s="115"/>
      <c r="U47" s="115"/>
      <c r="V47" s="115"/>
      <c r="W47" s="115"/>
      <c r="X47" s="115"/>
      <c r="Y47" s="115"/>
      <c r="Z47" s="115"/>
      <c r="AB47" s="171"/>
      <c r="AC47" s="172"/>
      <c r="AD47" s="172"/>
      <c r="AE47" s="172"/>
      <c r="AF47" s="172"/>
      <c r="AG47" s="172"/>
      <c r="AH47" s="172"/>
      <c r="AI47" s="173"/>
      <c r="AK47" s="180"/>
      <c r="AL47" s="181"/>
      <c r="AM47" s="181"/>
      <c r="AN47" s="181"/>
      <c r="AO47" s="181"/>
      <c r="AP47" s="181"/>
      <c r="AQ47" s="181"/>
      <c r="AR47" s="182"/>
      <c r="AT47" s="115"/>
      <c r="AU47" s="115"/>
      <c r="AV47" s="115"/>
      <c r="AW47" s="115"/>
      <c r="AX47" s="115"/>
      <c r="AY47" s="115"/>
      <c r="AZ47" s="115"/>
      <c r="BA47" s="115"/>
    </row>
    <row r="48" spans="1:53" x14ac:dyDescent="0.25">
      <c r="A48" s="115"/>
      <c r="B48" s="115"/>
      <c r="C48" s="115"/>
      <c r="D48" s="115"/>
      <c r="E48" s="115"/>
      <c r="F48" s="115"/>
      <c r="G48" s="115"/>
      <c r="H48" s="115"/>
      <c r="J48" s="115"/>
      <c r="K48" s="115"/>
      <c r="L48" s="115"/>
      <c r="M48" s="115"/>
      <c r="N48" s="115"/>
      <c r="O48" s="115"/>
      <c r="P48" s="115"/>
      <c r="Q48" s="115"/>
      <c r="S48" s="115"/>
      <c r="T48" s="115"/>
      <c r="U48" s="115"/>
      <c r="V48" s="115"/>
      <c r="W48" s="115"/>
      <c r="X48" s="115"/>
      <c r="Y48" s="115"/>
      <c r="Z48" s="115"/>
      <c r="AB48" s="171"/>
      <c r="AC48" s="172"/>
      <c r="AD48" s="172"/>
      <c r="AE48" s="172"/>
      <c r="AF48" s="172"/>
      <c r="AG48" s="172"/>
      <c r="AH48" s="172"/>
      <c r="AI48" s="173"/>
      <c r="AK48" s="180"/>
      <c r="AL48" s="181"/>
      <c r="AM48" s="181"/>
      <c r="AN48" s="181"/>
      <c r="AO48" s="181"/>
      <c r="AP48" s="181"/>
      <c r="AQ48" s="181"/>
      <c r="AR48" s="182"/>
      <c r="AT48" s="115"/>
      <c r="AU48" s="115"/>
      <c r="AV48" s="115"/>
      <c r="AW48" s="115"/>
      <c r="AX48" s="115"/>
      <c r="AY48" s="115"/>
      <c r="AZ48" s="115"/>
      <c r="BA48" s="115"/>
    </row>
    <row r="49" spans="1:53" x14ac:dyDescent="0.25">
      <c r="A49" s="115"/>
      <c r="B49" s="115"/>
      <c r="C49" s="115"/>
      <c r="D49" s="115"/>
      <c r="E49" s="115"/>
      <c r="F49" s="115"/>
      <c r="G49" s="115"/>
      <c r="H49" s="115"/>
      <c r="J49" s="115"/>
      <c r="K49" s="115"/>
      <c r="L49" s="115"/>
      <c r="M49" s="115"/>
      <c r="N49" s="115"/>
      <c r="O49" s="115"/>
      <c r="P49" s="115"/>
      <c r="Q49" s="115"/>
      <c r="S49" s="115"/>
      <c r="T49" s="115"/>
      <c r="U49" s="115"/>
      <c r="V49" s="115"/>
      <c r="W49" s="115"/>
      <c r="X49" s="115"/>
      <c r="Y49" s="115"/>
      <c r="Z49" s="115"/>
      <c r="AB49" s="171"/>
      <c r="AC49" s="172"/>
      <c r="AD49" s="172"/>
      <c r="AE49" s="172"/>
      <c r="AF49" s="172"/>
      <c r="AG49" s="172"/>
      <c r="AH49" s="172"/>
      <c r="AI49" s="173"/>
      <c r="AK49" s="180"/>
      <c r="AL49" s="181"/>
      <c r="AM49" s="181"/>
      <c r="AN49" s="181"/>
      <c r="AO49" s="181"/>
      <c r="AP49" s="181"/>
      <c r="AQ49" s="181"/>
      <c r="AR49" s="182"/>
      <c r="AT49" s="115"/>
      <c r="AU49" s="115"/>
      <c r="AV49" s="115"/>
      <c r="AW49" s="115"/>
      <c r="AX49" s="115"/>
      <c r="AY49" s="115"/>
      <c r="AZ49" s="115"/>
      <c r="BA49" s="115"/>
    </row>
    <row r="50" spans="1:53" x14ac:dyDescent="0.25">
      <c r="A50" s="115"/>
      <c r="B50" s="115"/>
      <c r="C50" s="115"/>
      <c r="D50" s="115"/>
      <c r="E50" s="115"/>
      <c r="F50" s="115"/>
      <c r="G50" s="115"/>
      <c r="H50" s="115"/>
      <c r="J50" s="115"/>
      <c r="K50" s="115"/>
      <c r="L50" s="115"/>
      <c r="M50" s="115"/>
      <c r="N50" s="115"/>
      <c r="O50" s="115"/>
      <c r="P50" s="115"/>
      <c r="Q50" s="115"/>
      <c r="S50" s="115"/>
      <c r="T50" s="115"/>
      <c r="U50" s="115"/>
      <c r="V50" s="115"/>
      <c r="W50" s="115"/>
      <c r="X50" s="115"/>
      <c r="Y50" s="115"/>
      <c r="Z50" s="115"/>
      <c r="AB50" s="171"/>
      <c r="AC50" s="172"/>
      <c r="AD50" s="172"/>
      <c r="AE50" s="172"/>
      <c r="AF50" s="172"/>
      <c r="AG50" s="172"/>
      <c r="AH50" s="172"/>
      <c r="AI50" s="173"/>
      <c r="AK50" s="180"/>
      <c r="AL50" s="181"/>
      <c r="AM50" s="181"/>
      <c r="AN50" s="181"/>
      <c r="AO50" s="181"/>
      <c r="AP50" s="181"/>
      <c r="AQ50" s="181"/>
      <c r="AR50" s="182"/>
      <c r="AT50" s="115"/>
      <c r="AU50" s="115"/>
      <c r="AV50" s="115"/>
      <c r="AW50" s="115"/>
      <c r="AX50" s="115"/>
      <c r="AY50" s="115"/>
      <c r="AZ50" s="115"/>
      <c r="BA50" s="115"/>
    </row>
    <row r="51" spans="1:53" x14ac:dyDescent="0.25">
      <c r="A51" s="115"/>
      <c r="B51" s="115"/>
      <c r="C51" s="115"/>
      <c r="D51" s="115"/>
      <c r="E51" s="115"/>
      <c r="F51" s="115"/>
      <c r="G51" s="115"/>
      <c r="H51" s="115"/>
      <c r="J51" s="115"/>
      <c r="K51" s="115"/>
      <c r="L51" s="115"/>
      <c r="M51" s="115"/>
      <c r="N51" s="115"/>
      <c r="O51" s="115"/>
      <c r="P51" s="115"/>
      <c r="Q51" s="115"/>
      <c r="S51" s="115"/>
      <c r="T51" s="115"/>
      <c r="U51" s="115"/>
      <c r="V51" s="115"/>
      <c r="W51" s="115"/>
      <c r="X51" s="115"/>
      <c r="Y51" s="115"/>
      <c r="Z51" s="115"/>
      <c r="AB51" s="174"/>
      <c r="AC51" s="175"/>
      <c r="AD51" s="175"/>
      <c r="AE51" s="175"/>
      <c r="AF51" s="175"/>
      <c r="AG51" s="175"/>
      <c r="AH51" s="175"/>
      <c r="AI51" s="176"/>
      <c r="AK51" s="183"/>
      <c r="AL51" s="184"/>
      <c r="AM51" s="184"/>
      <c r="AN51" s="184"/>
      <c r="AO51" s="184"/>
      <c r="AP51" s="184"/>
      <c r="AQ51" s="184"/>
      <c r="AR51" s="185"/>
      <c r="AT51" s="115"/>
      <c r="AU51" s="115"/>
      <c r="AV51" s="115"/>
      <c r="AW51" s="115"/>
      <c r="AX51" s="115"/>
      <c r="AY51" s="115"/>
      <c r="AZ51" s="115"/>
      <c r="BA51" s="115"/>
    </row>
    <row r="52" spans="1:53" x14ac:dyDescent="0.25">
      <c r="A52" s="105" t="s">
        <v>211</v>
      </c>
      <c r="B52" s="105"/>
      <c r="C52" s="105"/>
      <c r="D52" s="105"/>
      <c r="E52" s="105"/>
      <c r="F52" s="105"/>
      <c r="G52" s="105"/>
      <c r="H52" s="49" t="str">
        <f>IF(COUNTIF(H53:H56, "="&amp;IncompleteText), IncompleteText, IF(COUNTIF(H53:H56, "="&amp;ErrorText), ErrorText, OKText))</f>
        <v>BLANK</v>
      </c>
      <c r="J52" s="105" t="s">
        <v>218</v>
      </c>
      <c r="K52" s="105"/>
      <c r="L52" s="105"/>
      <c r="M52" s="105"/>
      <c r="N52" s="105"/>
      <c r="O52" s="105"/>
      <c r="P52" s="105"/>
      <c r="Q52" s="49" t="str">
        <f>IF(COUNTIF(Q53:Q55, "="&amp;IncompleteText), IncompleteText, IF(COUNTIF(Q53:Q55, "="&amp;ErrorText), ErrorText, OKText))</f>
        <v>BLANK</v>
      </c>
      <c r="S52" s="105" t="s">
        <v>233</v>
      </c>
      <c r="T52" s="105"/>
      <c r="U52" s="105"/>
      <c r="V52" s="105"/>
      <c r="W52" s="105"/>
      <c r="X52" s="105"/>
      <c r="Y52" s="105"/>
      <c r="Z52" s="49" t="str">
        <f>IF(COUNTIF(Z53:Z54, "="&amp;IncompleteText), IncompleteText, IF(COUNTIF(Z53:Z54, "="&amp;ErrorText), ErrorText, OKText))</f>
        <v>BLANK</v>
      </c>
      <c r="AB52" s="116" t="s">
        <v>235</v>
      </c>
      <c r="AC52" s="116"/>
      <c r="AD52" s="116"/>
      <c r="AE52" s="116"/>
      <c r="AF52" s="116"/>
      <c r="AG52" s="116"/>
      <c r="AH52" s="116"/>
      <c r="AI52" s="49" t="str">
        <f>IF(COUNTIF(AI53, "="&amp;IncompleteText), IncompleteText, IF(COUNTIF(AI53, "="&amp;ErrorText), ErrorText, OKText))</f>
        <v>BLANK</v>
      </c>
      <c r="AK52" s="116" t="s">
        <v>238</v>
      </c>
      <c r="AL52" s="116"/>
      <c r="AM52" s="116"/>
      <c r="AN52" s="116"/>
      <c r="AO52" s="116"/>
      <c r="AP52" s="116"/>
      <c r="AQ52" s="116"/>
      <c r="AR52" s="49" t="str">
        <f>IF(COUNTIF(AR53, "="&amp;IncompleteText), IncompleteText, IF(COUNTIF(AR53, "="&amp;ErrorText), ErrorText, OKText))</f>
        <v>BLANK</v>
      </c>
      <c r="AT52" s="105" t="s">
        <v>241</v>
      </c>
      <c r="AU52" s="105"/>
      <c r="AV52" s="105"/>
      <c r="AW52" s="105"/>
      <c r="AX52" s="105"/>
      <c r="AY52" s="105"/>
      <c r="AZ52" s="105"/>
      <c r="BA52" s="49" t="str">
        <f>IF(COUNTIF(BA53, "="&amp;IncompleteText), IncompleteText, IF(COUNTIF(BA53, "="&amp;ErrorText), ErrorText, OKText))</f>
        <v>BLANK</v>
      </c>
    </row>
    <row r="53" spans="1:53" s="33" customFormat="1" ht="37.5" customHeight="1" x14ac:dyDescent="0.25">
      <c r="A53" s="150" t="s">
        <v>212</v>
      </c>
      <c r="B53" s="150"/>
      <c r="C53" s="150"/>
      <c r="D53" s="150"/>
      <c r="E53" s="150"/>
      <c r="F53" s="150"/>
      <c r="G53" s="38"/>
      <c r="H53" s="52" t="str">
        <f>IF(ISBLANK(G53),IncompleteText, IF(G53, OKText, ErrorText))</f>
        <v>BLANK</v>
      </c>
      <c r="J53" s="150" t="s">
        <v>217</v>
      </c>
      <c r="K53" s="150"/>
      <c r="L53" s="150"/>
      <c r="M53" s="150"/>
      <c r="N53" s="150"/>
      <c r="O53" s="151"/>
      <c r="P53" s="38"/>
      <c r="Q53" s="52" t="str">
        <f>IF(ISBLANK(P53),IncompleteText, IF(P53, OKText, ErrorText))</f>
        <v>BLANK</v>
      </c>
      <c r="S53" s="155" t="s">
        <v>234</v>
      </c>
      <c r="T53" s="155"/>
      <c r="U53" s="155"/>
      <c r="V53" s="155"/>
      <c r="W53" s="155"/>
      <c r="X53" s="190"/>
      <c r="Y53" s="38"/>
      <c r="Z53" s="52" t="str">
        <f>IF(ISBLANK(Y53),IncompleteText, IF(Y53, OKText, ErrorText))</f>
        <v>BLANK</v>
      </c>
      <c r="AB53" s="140" t="s">
        <v>236</v>
      </c>
      <c r="AC53" s="140"/>
      <c r="AD53" s="140"/>
      <c r="AE53" s="140"/>
      <c r="AF53" s="140"/>
      <c r="AG53" s="141"/>
      <c r="AH53" s="38"/>
      <c r="AI53" s="52" t="str">
        <f>IF(ISBLANK(AH53),IncompleteText, IF(AH53, OKText, ErrorText))</f>
        <v>BLANK</v>
      </c>
      <c r="AK53" s="140" t="s">
        <v>239</v>
      </c>
      <c r="AL53" s="140"/>
      <c r="AM53" s="140"/>
      <c r="AN53" s="140"/>
      <c r="AO53" s="140"/>
      <c r="AP53" s="141"/>
      <c r="AQ53" s="38"/>
      <c r="AR53" s="52" t="str">
        <f>IF(ISBLANK(AQ53),IncompleteText, IF(AQ53, OKText, ErrorText))</f>
        <v>BLANK</v>
      </c>
      <c r="AT53" s="140" t="s">
        <v>242</v>
      </c>
      <c r="AU53" s="140"/>
      <c r="AV53" s="140"/>
      <c r="AW53" s="140"/>
      <c r="AX53" s="140"/>
      <c r="AY53" s="141"/>
      <c r="AZ53" s="38"/>
      <c r="BA53" s="52" t="str">
        <f>IF(ISBLANK(AZ53),IncompleteText, IF(AZ53, OKText, ErrorText))</f>
        <v>BLANK</v>
      </c>
    </row>
    <row r="54" spans="1:53" ht="27.6" x14ac:dyDescent="0.25">
      <c r="A54" s="150" t="s">
        <v>213</v>
      </c>
      <c r="B54" s="150"/>
      <c r="C54" s="150"/>
      <c r="D54" s="150"/>
      <c r="E54" s="150"/>
      <c r="F54" s="150"/>
      <c r="G54" s="47"/>
      <c r="H54" s="49" t="str">
        <f>IF(ISBLANK(G54),IncompleteText, IF(G54, OKText, ErrorText))</f>
        <v>BLANK</v>
      </c>
      <c r="J54" s="150" t="s">
        <v>219</v>
      </c>
      <c r="K54" s="150"/>
      <c r="L54" s="150"/>
      <c r="M54" s="150"/>
      <c r="N54" s="150"/>
      <c r="O54" s="151"/>
      <c r="P54" s="47"/>
      <c r="Q54" s="49" t="str">
        <f>IF(ISBLANK(P54),IncompleteText, IF(P54, OKText, ErrorText))</f>
        <v>BLANK</v>
      </c>
      <c r="S54" s="186" t="s">
        <v>451</v>
      </c>
      <c r="T54" s="186"/>
      <c r="U54" s="186"/>
      <c r="V54" s="186"/>
      <c r="W54" s="186"/>
      <c r="X54" s="187"/>
      <c r="Y54" s="47"/>
      <c r="Z54" s="49" t="str">
        <f>IF(ISBLANK(Y54),IncompleteText, IF(Y54, OKText, ErrorText))</f>
        <v>BLANK</v>
      </c>
      <c r="AB54" s="188" t="s">
        <v>210</v>
      </c>
      <c r="AC54" s="188"/>
      <c r="AD54" s="188"/>
      <c r="AE54" s="188"/>
      <c r="AF54" s="188"/>
      <c r="AG54" s="188"/>
      <c r="AH54" s="189"/>
      <c r="AI54" s="39" t="s">
        <v>232</v>
      </c>
      <c r="AK54" s="188" t="s">
        <v>210</v>
      </c>
      <c r="AL54" s="188"/>
      <c r="AM54" s="188"/>
      <c r="AN54" s="188"/>
      <c r="AO54" s="188"/>
      <c r="AP54" s="188"/>
      <c r="AQ54" s="189"/>
      <c r="AR54" s="39" t="s">
        <v>232</v>
      </c>
      <c r="AT54" s="105" t="s">
        <v>210</v>
      </c>
      <c r="AU54" s="105"/>
      <c r="AV54" s="105"/>
      <c r="AW54" s="105"/>
      <c r="AX54" s="105"/>
      <c r="AY54" s="105"/>
      <c r="AZ54" s="105"/>
      <c r="BA54" s="39" t="s">
        <v>232</v>
      </c>
    </row>
    <row r="55" spans="1:53" ht="27.75" customHeight="1" x14ac:dyDescent="0.25">
      <c r="A55" s="150" t="s">
        <v>214</v>
      </c>
      <c r="B55" s="150"/>
      <c r="C55" s="150"/>
      <c r="D55" s="150"/>
      <c r="E55" s="150"/>
      <c r="F55" s="150"/>
      <c r="G55" s="47"/>
      <c r="H55" s="49" t="str">
        <f>IF(ISBLANK(G55),IncompleteText, IF(G55, OKText, ErrorText))</f>
        <v>BLANK</v>
      </c>
      <c r="J55" s="155" t="s">
        <v>221</v>
      </c>
      <c r="K55" s="155"/>
      <c r="L55" s="155"/>
      <c r="M55" s="155"/>
      <c r="N55" s="155"/>
      <c r="O55" s="190"/>
      <c r="P55" s="47"/>
      <c r="Q55" s="49" t="str">
        <f>IF(ISBLANK(P55),IncompleteText, IF(P55, OKText, ErrorText))</f>
        <v>BLANK</v>
      </c>
      <c r="S55" s="78" t="s">
        <v>210</v>
      </c>
      <c r="T55" s="78"/>
      <c r="U55" s="78"/>
      <c r="V55" s="78"/>
      <c r="W55" s="78"/>
      <c r="X55" s="78"/>
      <c r="Y55" s="78"/>
      <c r="Z55" s="202" t="s">
        <v>232</v>
      </c>
      <c r="AB55" s="191"/>
      <c r="AC55" s="124"/>
      <c r="AD55" s="124"/>
      <c r="AE55" s="124"/>
      <c r="AF55" s="124"/>
      <c r="AG55" s="124"/>
      <c r="AH55" s="192"/>
      <c r="AI55" s="200" t="s">
        <v>506</v>
      </c>
      <c r="AK55" s="191"/>
      <c r="AL55" s="124"/>
      <c r="AM55" s="124"/>
      <c r="AN55" s="124"/>
      <c r="AO55" s="124"/>
      <c r="AP55" s="124"/>
      <c r="AQ55" s="192"/>
      <c r="AR55" s="198" t="s">
        <v>507</v>
      </c>
      <c r="AT55" s="199"/>
      <c r="AU55" s="199"/>
      <c r="AV55" s="199"/>
      <c r="AW55" s="199"/>
      <c r="AX55" s="199"/>
      <c r="AY55" s="199"/>
      <c r="AZ55" s="199"/>
      <c r="BA55" s="198" t="s">
        <v>507</v>
      </c>
    </row>
    <row r="56" spans="1:53" ht="22.95" customHeight="1" x14ac:dyDescent="0.25">
      <c r="A56" s="150" t="s">
        <v>215</v>
      </c>
      <c r="B56" s="150"/>
      <c r="C56" s="150"/>
      <c r="D56" s="150"/>
      <c r="E56" s="150"/>
      <c r="F56" s="151"/>
      <c r="G56" s="47"/>
      <c r="H56" s="49" t="str">
        <f>IF(ISBLANK(G56),IncompleteText, IF(G56, OKText, ErrorText))</f>
        <v>BLANK</v>
      </c>
      <c r="J56" s="150" t="s">
        <v>231</v>
      </c>
      <c r="K56" s="150"/>
      <c r="L56" s="150"/>
      <c r="M56" s="150"/>
      <c r="N56" s="150"/>
      <c r="O56" s="151"/>
      <c r="P56" s="47"/>
      <c r="Q56" s="49" t="s">
        <v>216</v>
      </c>
      <c r="S56" s="201"/>
      <c r="T56" s="201"/>
      <c r="U56" s="201"/>
      <c r="V56" s="201"/>
      <c r="W56" s="201"/>
      <c r="X56" s="201"/>
      <c r="Y56" s="201"/>
      <c r="Z56" s="203"/>
      <c r="AB56" s="193"/>
      <c r="AC56" s="125"/>
      <c r="AD56" s="125"/>
      <c r="AE56" s="125"/>
      <c r="AF56" s="125"/>
      <c r="AG56" s="125"/>
      <c r="AH56" s="194"/>
      <c r="AI56" s="200"/>
      <c r="AK56" s="193"/>
      <c r="AL56" s="125"/>
      <c r="AM56" s="125"/>
      <c r="AN56" s="125"/>
      <c r="AO56" s="125"/>
      <c r="AP56" s="125"/>
      <c r="AQ56" s="194"/>
      <c r="AR56" s="198"/>
      <c r="AT56" s="199"/>
      <c r="AU56" s="199"/>
      <c r="AV56" s="199"/>
      <c r="AW56" s="199"/>
      <c r="AX56" s="199"/>
      <c r="AY56" s="199"/>
      <c r="AZ56" s="199"/>
      <c r="BA56" s="198"/>
    </row>
    <row r="57" spans="1:53" x14ac:dyDescent="0.25">
      <c r="A57" s="105" t="s">
        <v>210</v>
      </c>
      <c r="B57" s="105"/>
      <c r="C57" s="105"/>
      <c r="D57" s="105"/>
      <c r="E57" s="105"/>
      <c r="F57" s="105"/>
      <c r="G57" s="105"/>
      <c r="H57" s="20" t="s">
        <v>232</v>
      </c>
      <c r="J57" s="105" t="s">
        <v>210</v>
      </c>
      <c r="K57" s="105"/>
      <c r="L57" s="105"/>
      <c r="M57" s="105"/>
      <c r="N57" s="105"/>
      <c r="O57" s="105"/>
      <c r="P57" s="105"/>
      <c r="Q57" s="20" t="s">
        <v>232</v>
      </c>
      <c r="S57" s="199"/>
      <c r="T57" s="199"/>
      <c r="U57" s="199"/>
      <c r="V57" s="199"/>
      <c r="W57" s="199"/>
      <c r="X57" s="199"/>
      <c r="Y57" s="199"/>
      <c r="Z57" s="200" t="s">
        <v>505</v>
      </c>
      <c r="AB57" s="193"/>
      <c r="AC57" s="125"/>
      <c r="AD57" s="125"/>
      <c r="AE57" s="125"/>
      <c r="AF57" s="125"/>
      <c r="AG57" s="125"/>
      <c r="AH57" s="194"/>
      <c r="AI57" s="200"/>
      <c r="AK57" s="193"/>
      <c r="AL57" s="125"/>
      <c r="AM57" s="125"/>
      <c r="AN57" s="125"/>
      <c r="AO57" s="125"/>
      <c r="AP57" s="125"/>
      <c r="AQ57" s="194"/>
      <c r="AR57" s="198"/>
      <c r="AT57" s="199"/>
      <c r="AU57" s="199"/>
      <c r="AV57" s="199"/>
      <c r="AW57" s="199"/>
      <c r="AX57" s="199"/>
      <c r="AY57" s="199"/>
      <c r="AZ57" s="199"/>
      <c r="BA57" s="198"/>
    </row>
    <row r="58" spans="1:53" x14ac:dyDescent="0.25">
      <c r="A58" s="144"/>
      <c r="B58" s="144"/>
      <c r="C58" s="144"/>
      <c r="D58" s="144"/>
      <c r="E58" s="144"/>
      <c r="F58" s="144"/>
      <c r="G58" s="144"/>
      <c r="H58" s="204" t="s">
        <v>500</v>
      </c>
      <c r="J58" s="144"/>
      <c r="K58" s="144"/>
      <c r="L58" s="144"/>
      <c r="M58" s="144"/>
      <c r="N58" s="144"/>
      <c r="O58" s="144"/>
      <c r="P58" s="144"/>
      <c r="Q58" s="205" t="s">
        <v>504</v>
      </c>
      <c r="S58" s="199"/>
      <c r="T58" s="199"/>
      <c r="U58" s="199"/>
      <c r="V58" s="199"/>
      <c r="W58" s="199"/>
      <c r="X58" s="199"/>
      <c r="Y58" s="199"/>
      <c r="Z58" s="200"/>
      <c r="AB58" s="193"/>
      <c r="AC58" s="125"/>
      <c r="AD58" s="125"/>
      <c r="AE58" s="125"/>
      <c r="AF58" s="125"/>
      <c r="AG58" s="125"/>
      <c r="AH58" s="194"/>
      <c r="AI58" s="200"/>
      <c r="AK58" s="193"/>
      <c r="AL58" s="125"/>
      <c r="AM58" s="125"/>
      <c r="AN58" s="125"/>
      <c r="AO58" s="125"/>
      <c r="AP58" s="125"/>
      <c r="AQ58" s="194"/>
      <c r="AR58" s="198"/>
      <c r="AT58" s="199"/>
      <c r="AU58" s="199"/>
      <c r="AV58" s="199"/>
      <c r="AW58" s="199"/>
      <c r="AX58" s="199"/>
      <c r="AY58" s="199"/>
      <c r="AZ58" s="199"/>
      <c r="BA58" s="198"/>
    </row>
    <row r="59" spans="1:53" x14ac:dyDescent="0.25">
      <c r="A59" s="144"/>
      <c r="B59" s="144"/>
      <c r="C59" s="144"/>
      <c r="D59" s="144"/>
      <c r="E59" s="144"/>
      <c r="F59" s="144"/>
      <c r="G59" s="144"/>
      <c r="H59" s="204"/>
      <c r="J59" s="144"/>
      <c r="K59" s="144"/>
      <c r="L59" s="144"/>
      <c r="M59" s="144"/>
      <c r="N59" s="144"/>
      <c r="O59" s="144"/>
      <c r="P59" s="144"/>
      <c r="Q59" s="206"/>
      <c r="S59" s="199"/>
      <c r="T59" s="199"/>
      <c r="U59" s="199"/>
      <c r="V59" s="199"/>
      <c r="W59" s="199"/>
      <c r="X59" s="199"/>
      <c r="Y59" s="199"/>
      <c r="Z59" s="200"/>
      <c r="AB59" s="195"/>
      <c r="AC59" s="196"/>
      <c r="AD59" s="196"/>
      <c r="AE59" s="196"/>
      <c r="AF59" s="196"/>
      <c r="AG59" s="196"/>
      <c r="AH59" s="197"/>
      <c r="AI59" s="200"/>
      <c r="AK59" s="195"/>
      <c r="AL59" s="196"/>
      <c r="AM59" s="196"/>
      <c r="AN59" s="196"/>
      <c r="AO59" s="196"/>
      <c r="AP59" s="196"/>
      <c r="AQ59" s="197"/>
      <c r="AR59" s="198"/>
      <c r="AT59" s="199"/>
      <c r="AU59" s="199"/>
      <c r="AV59" s="199"/>
      <c r="AW59" s="199"/>
      <c r="AX59" s="199"/>
      <c r="AY59" s="199"/>
      <c r="AZ59" s="199"/>
      <c r="BA59" s="198"/>
    </row>
    <row r="60" spans="1:53" x14ac:dyDescent="0.25">
      <c r="A60" s="144"/>
      <c r="B60" s="144"/>
      <c r="C60" s="144"/>
      <c r="D60" s="144"/>
      <c r="E60" s="144"/>
      <c r="F60" s="144"/>
      <c r="G60" s="144"/>
      <c r="H60" s="204"/>
      <c r="J60" s="144"/>
      <c r="K60" s="144"/>
      <c r="L60" s="144"/>
      <c r="M60" s="144"/>
      <c r="N60" s="144"/>
      <c r="O60" s="144"/>
      <c r="P60" s="144"/>
      <c r="Q60" s="207"/>
      <c r="S60" s="199"/>
      <c r="T60" s="199"/>
      <c r="U60" s="199"/>
      <c r="V60" s="199"/>
      <c r="W60" s="199"/>
      <c r="X60" s="199"/>
      <c r="Y60" s="199"/>
      <c r="Z60" s="200"/>
    </row>
    <row r="64" spans="1:53" x14ac:dyDescent="0.25">
      <c r="A64" s="115" t="s">
        <v>220</v>
      </c>
      <c r="B64" s="115"/>
      <c r="C64" s="115"/>
      <c r="D64" s="115"/>
      <c r="E64" s="115"/>
      <c r="F64" s="115"/>
      <c r="G64" s="115"/>
      <c r="H64" s="115"/>
      <c r="J64" s="127" t="s">
        <v>510</v>
      </c>
      <c r="K64" s="115"/>
      <c r="L64" s="115"/>
      <c r="M64" s="115"/>
      <c r="N64" s="115"/>
      <c r="O64" s="115"/>
      <c r="P64" s="115"/>
      <c r="Q64" s="115"/>
    </row>
    <row r="65" spans="1:17" x14ac:dyDescent="0.25">
      <c r="A65" s="115"/>
      <c r="B65" s="115"/>
      <c r="C65" s="115"/>
      <c r="D65" s="115"/>
      <c r="E65" s="115"/>
      <c r="F65" s="115"/>
      <c r="G65" s="115"/>
      <c r="H65" s="115"/>
      <c r="J65" s="115"/>
      <c r="K65" s="115"/>
      <c r="L65" s="115"/>
      <c r="M65" s="115"/>
      <c r="N65" s="115"/>
      <c r="O65" s="115"/>
      <c r="P65" s="115"/>
      <c r="Q65" s="115"/>
    </row>
    <row r="66" spans="1:17" x14ac:dyDescent="0.25">
      <c r="A66" s="115"/>
      <c r="B66" s="115"/>
      <c r="C66" s="115"/>
      <c r="D66" s="115"/>
      <c r="E66" s="115"/>
      <c r="F66" s="115"/>
      <c r="G66" s="115"/>
      <c r="H66" s="115"/>
      <c r="J66" s="115"/>
      <c r="K66" s="115"/>
      <c r="L66" s="115"/>
      <c r="M66" s="115"/>
      <c r="N66" s="115"/>
      <c r="O66" s="115"/>
      <c r="P66" s="115"/>
      <c r="Q66" s="115"/>
    </row>
    <row r="67" spans="1:17" x14ac:dyDescent="0.25">
      <c r="A67" s="115"/>
      <c r="B67" s="115"/>
      <c r="C67" s="115"/>
      <c r="D67" s="115"/>
      <c r="E67" s="115"/>
      <c r="F67" s="115"/>
      <c r="G67" s="115"/>
      <c r="H67" s="115"/>
      <c r="J67" s="115"/>
      <c r="K67" s="115"/>
      <c r="L67" s="115"/>
      <c r="M67" s="115"/>
      <c r="N67" s="115"/>
      <c r="O67" s="115"/>
      <c r="P67" s="115"/>
      <c r="Q67" s="115"/>
    </row>
    <row r="68" spans="1:17" x14ac:dyDescent="0.25">
      <c r="A68" s="115"/>
      <c r="B68" s="115"/>
      <c r="C68" s="115"/>
      <c r="D68" s="115"/>
      <c r="E68" s="115"/>
      <c r="F68" s="115"/>
      <c r="G68" s="115"/>
      <c r="H68" s="115"/>
      <c r="J68" s="115"/>
      <c r="K68" s="115"/>
      <c r="L68" s="115"/>
      <c r="M68" s="115"/>
      <c r="N68" s="115"/>
      <c r="O68" s="115"/>
      <c r="P68" s="115"/>
      <c r="Q68" s="115"/>
    </row>
    <row r="69" spans="1:17" x14ac:dyDescent="0.25">
      <c r="A69" s="115"/>
      <c r="B69" s="115"/>
      <c r="C69" s="115"/>
      <c r="D69" s="115"/>
      <c r="E69" s="115"/>
      <c r="F69" s="115"/>
      <c r="G69" s="115"/>
      <c r="H69" s="115"/>
      <c r="J69" s="115"/>
      <c r="K69" s="115"/>
      <c r="L69" s="115"/>
      <c r="M69" s="115"/>
      <c r="N69" s="115"/>
      <c r="O69" s="115"/>
      <c r="P69" s="115"/>
      <c r="Q69" s="115"/>
    </row>
    <row r="70" spans="1:17" x14ac:dyDescent="0.25">
      <c r="A70" s="115"/>
      <c r="B70" s="115"/>
      <c r="C70" s="115"/>
      <c r="D70" s="115"/>
      <c r="E70" s="115"/>
      <c r="F70" s="115"/>
      <c r="G70" s="115"/>
      <c r="H70" s="115"/>
      <c r="J70" s="115"/>
      <c r="K70" s="115"/>
      <c r="L70" s="115"/>
      <c r="M70" s="115"/>
      <c r="N70" s="115"/>
      <c r="O70" s="115"/>
      <c r="P70" s="115"/>
      <c r="Q70" s="115"/>
    </row>
    <row r="71" spans="1:17" x14ac:dyDescent="0.25">
      <c r="A71" s="115"/>
      <c r="B71" s="115"/>
      <c r="C71" s="115"/>
      <c r="D71" s="115"/>
      <c r="E71" s="115"/>
      <c r="F71" s="115"/>
      <c r="G71" s="115"/>
      <c r="H71" s="115"/>
      <c r="J71" s="115"/>
      <c r="K71" s="115"/>
      <c r="L71" s="115"/>
      <c r="M71" s="115"/>
      <c r="N71" s="115"/>
      <c r="O71" s="115"/>
      <c r="P71" s="115"/>
      <c r="Q71" s="115"/>
    </row>
    <row r="72" spans="1:17" x14ac:dyDescent="0.25">
      <c r="A72" s="115"/>
      <c r="B72" s="115"/>
      <c r="C72" s="115"/>
      <c r="D72" s="115"/>
      <c r="E72" s="115"/>
      <c r="F72" s="115"/>
      <c r="G72" s="115"/>
      <c r="H72" s="115"/>
      <c r="J72" s="115"/>
      <c r="K72" s="115"/>
      <c r="L72" s="115"/>
      <c r="M72" s="115"/>
      <c r="N72" s="115"/>
      <c r="O72" s="115"/>
      <c r="P72" s="115"/>
      <c r="Q72" s="115"/>
    </row>
    <row r="73" spans="1:17" x14ac:dyDescent="0.25">
      <c r="A73" s="115"/>
      <c r="B73" s="115"/>
      <c r="C73" s="115"/>
      <c r="D73" s="115"/>
      <c r="E73" s="115"/>
      <c r="F73" s="115"/>
      <c r="G73" s="115"/>
      <c r="H73" s="115"/>
      <c r="J73" s="115"/>
      <c r="K73" s="115"/>
      <c r="L73" s="115"/>
      <c r="M73" s="115"/>
      <c r="N73" s="115"/>
      <c r="O73" s="115"/>
      <c r="P73" s="115"/>
      <c r="Q73" s="115"/>
    </row>
    <row r="74" spans="1:17" x14ac:dyDescent="0.25">
      <c r="A74" s="115"/>
      <c r="B74" s="115"/>
      <c r="C74" s="115"/>
      <c r="D74" s="115"/>
      <c r="E74" s="115"/>
      <c r="F74" s="115"/>
      <c r="G74" s="115"/>
      <c r="H74" s="115"/>
      <c r="J74" s="115"/>
      <c r="K74" s="115"/>
      <c r="L74" s="115"/>
      <c r="M74" s="115"/>
      <c r="N74" s="115"/>
      <c r="O74" s="115"/>
      <c r="P74" s="115"/>
      <c r="Q74" s="115"/>
    </row>
    <row r="75" spans="1:17" x14ac:dyDescent="0.25">
      <c r="A75" s="115"/>
      <c r="B75" s="115"/>
      <c r="C75" s="115"/>
      <c r="D75" s="115"/>
      <c r="E75" s="115"/>
      <c r="F75" s="115"/>
      <c r="G75" s="115"/>
      <c r="H75" s="115"/>
      <c r="J75" s="115"/>
      <c r="K75" s="115"/>
      <c r="L75" s="115"/>
      <c r="M75" s="115"/>
      <c r="N75" s="115"/>
      <c r="O75" s="115"/>
      <c r="P75" s="115"/>
      <c r="Q75" s="115"/>
    </row>
    <row r="76" spans="1:17" x14ac:dyDescent="0.25">
      <c r="A76" s="115"/>
      <c r="B76" s="115"/>
      <c r="C76" s="115"/>
      <c r="D76" s="115"/>
      <c r="E76" s="115"/>
      <c r="F76" s="115"/>
      <c r="G76" s="115"/>
      <c r="H76" s="115"/>
      <c r="J76" s="115"/>
      <c r="K76" s="115"/>
      <c r="L76" s="115"/>
      <c r="M76" s="115"/>
      <c r="N76" s="115"/>
      <c r="O76" s="115"/>
      <c r="P76" s="115"/>
      <c r="Q76" s="115"/>
    </row>
    <row r="77" spans="1:17" x14ac:dyDescent="0.25">
      <c r="A77" s="115"/>
      <c r="B77" s="115"/>
      <c r="C77" s="115"/>
      <c r="D77" s="115"/>
      <c r="E77" s="115"/>
      <c r="F77" s="115"/>
      <c r="G77" s="115"/>
      <c r="H77" s="115"/>
      <c r="J77" s="115"/>
      <c r="K77" s="115"/>
      <c r="L77" s="115"/>
      <c r="M77" s="115"/>
      <c r="N77" s="115"/>
      <c r="O77" s="115"/>
      <c r="P77" s="115"/>
      <c r="Q77" s="115"/>
    </row>
    <row r="78" spans="1:17" x14ac:dyDescent="0.25">
      <c r="A78" s="115"/>
      <c r="B78" s="115"/>
      <c r="C78" s="115"/>
      <c r="D78" s="115"/>
      <c r="E78" s="115"/>
      <c r="F78" s="115"/>
      <c r="G78" s="115"/>
      <c r="H78" s="115"/>
      <c r="J78" s="115"/>
      <c r="K78" s="115"/>
      <c r="L78" s="115"/>
      <c r="M78" s="115"/>
      <c r="N78" s="115"/>
      <c r="O78" s="115"/>
      <c r="P78" s="115"/>
      <c r="Q78" s="115"/>
    </row>
    <row r="79" spans="1:17" x14ac:dyDescent="0.25">
      <c r="A79" s="115"/>
      <c r="B79" s="115"/>
      <c r="C79" s="115"/>
      <c r="D79" s="115"/>
      <c r="E79" s="115"/>
      <c r="F79" s="115"/>
      <c r="G79" s="115"/>
      <c r="H79" s="115"/>
      <c r="J79" s="115"/>
      <c r="K79" s="115"/>
      <c r="L79" s="115"/>
      <c r="M79" s="115"/>
      <c r="N79" s="115"/>
      <c r="O79" s="115"/>
      <c r="P79" s="115"/>
      <c r="Q79" s="115"/>
    </row>
    <row r="80" spans="1:17" x14ac:dyDescent="0.25">
      <c r="A80" s="115"/>
      <c r="B80" s="115"/>
      <c r="C80" s="115"/>
      <c r="D80" s="115"/>
      <c r="E80" s="115"/>
      <c r="F80" s="115"/>
      <c r="G80" s="115"/>
      <c r="H80" s="115"/>
      <c r="J80" s="115"/>
      <c r="K80" s="115"/>
      <c r="L80" s="115"/>
      <c r="M80" s="115"/>
      <c r="N80" s="115"/>
      <c r="O80" s="115"/>
      <c r="P80" s="115"/>
      <c r="Q80" s="115"/>
    </row>
    <row r="81" spans="1:17" x14ac:dyDescent="0.25">
      <c r="A81" s="115"/>
      <c r="B81" s="115"/>
      <c r="C81" s="115"/>
      <c r="D81" s="115"/>
      <c r="E81" s="115"/>
      <c r="F81" s="115"/>
      <c r="G81" s="115"/>
      <c r="H81" s="115"/>
      <c r="J81" s="115"/>
      <c r="K81" s="115"/>
      <c r="L81" s="115"/>
      <c r="M81" s="115"/>
      <c r="N81" s="115"/>
      <c r="O81" s="115"/>
      <c r="P81" s="115"/>
      <c r="Q81" s="115"/>
    </row>
    <row r="82" spans="1:17" x14ac:dyDescent="0.25">
      <c r="A82" s="115"/>
      <c r="B82" s="115"/>
      <c r="C82" s="115"/>
      <c r="D82" s="115"/>
      <c r="E82" s="115"/>
      <c r="F82" s="115"/>
      <c r="G82" s="115"/>
      <c r="H82" s="115"/>
      <c r="J82" s="115"/>
      <c r="K82" s="115"/>
      <c r="L82" s="115"/>
      <c r="M82" s="115"/>
      <c r="N82" s="115"/>
      <c r="O82" s="115"/>
      <c r="P82" s="115"/>
      <c r="Q82" s="115"/>
    </row>
    <row r="83" spans="1:17" x14ac:dyDescent="0.25">
      <c r="A83" s="105" t="s">
        <v>220</v>
      </c>
      <c r="B83" s="105"/>
      <c r="C83" s="105"/>
      <c r="D83" s="105"/>
      <c r="E83" s="105"/>
      <c r="F83" s="105"/>
      <c r="G83" s="105"/>
      <c r="H83" s="49" t="str">
        <f>IF(COUNTIF(H84:H92, "="&amp;IncompleteText), IncompleteText, IF(COUNTIF(H84:H92, "="&amp;ErrorText), ErrorText, OKText))</f>
        <v>BLANK</v>
      </c>
      <c r="J83" s="105" t="s">
        <v>509</v>
      </c>
      <c r="K83" s="105"/>
      <c r="L83" s="105"/>
      <c r="M83" s="105"/>
      <c r="N83" s="105"/>
      <c r="O83" s="105"/>
      <c r="P83" s="105"/>
      <c r="Q83" s="63" t="str">
        <f>IF(COUNTIF(Q84:Q86, "="&amp;IncompleteText), IncompleteText, IF(COUNTIF(Q84:Q86, "="&amp;ErrorText), ErrorText, OKText))</f>
        <v>BLANK</v>
      </c>
    </row>
    <row r="84" spans="1:17" x14ac:dyDescent="0.25">
      <c r="A84" s="150" t="s">
        <v>222</v>
      </c>
      <c r="B84" s="150"/>
      <c r="C84" s="150"/>
      <c r="D84" s="150"/>
      <c r="E84" s="150"/>
      <c r="F84" s="150"/>
      <c r="G84" s="47"/>
      <c r="H84" s="49" t="str">
        <f>IF(ISBLANK(G84),IncompleteText, OKText)</f>
        <v>BLANK</v>
      </c>
      <c r="J84" s="121" t="s">
        <v>511</v>
      </c>
      <c r="K84" s="121"/>
      <c r="L84" s="121"/>
      <c r="M84" s="121"/>
      <c r="N84" s="121"/>
      <c r="O84" s="131"/>
      <c r="P84" s="38"/>
      <c r="Q84" s="54" t="str">
        <f>IF(ISBLANK(P84),IncompleteText, IF(P84, OKText, ErrorText))</f>
        <v>BLANK</v>
      </c>
    </row>
    <row r="85" spans="1:17" x14ac:dyDescent="0.25">
      <c r="A85" s="150" t="s">
        <v>223</v>
      </c>
      <c r="B85" s="150"/>
      <c r="C85" s="150"/>
      <c r="D85" s="150"/>
      <c r="E85" s="150"/>
      <c r="F85" s="151"/>
      <c r="G85" s="47"/>
      <c r="H85" s="49" t="str">
        <f>IF(G$84="车队自制电路 Self-designed",OKText,IF(ISBLANK(G85),IncompleteText,IF(G85&gt;MaxTSVoltage,OKText,ErrorText)))</f>
        <v>BLANK</v>
      </c>
      <c r="J85" s="121" t="s">
        <v>512</v>
      </c>
      <c r="K85" s="121"/>
      <c r="L85" s="121"/>
      <c r="M85" s="121"/>
      <c r="N85" s="121"/>
      <c r="O85" s="131"/>
      <c r="P85" s="61"/>
      <c r="Q85" s="63" t="str">
        <f>IF(ISBLANK(P85),IncompleteText, IF(P85, OKText, ErrorText))</f>
        <v>BLANK</v>
      </c>
    </row>
    <row r="86" spans="1:17" x14ac:dyDescent="0.25">
      <c r="A86" s="150" t="s">
        <v>227</v>
      </c>
      <c r="B86" s="150"/>
      <c r="C86" s="150"/>
      <c r="D86" s="150"/>
      <c r="E86" s="150"/>
      <c r="F86" s="151"/>
      <c r="G86" s="47"/>
      <c r="H86" s="49" t="str">
        <f>IF(G$84="车队自制电路 Self-designed",OKText,IF(ISBLANK(G86),IncompleteText,OKText))</f>
        <v>BLANK</v>
      </c>
      <c r="J86" s="142" t="s">
        <v>513</v>
      </c>
      <c r="K86" s="142"/>
      <c r="L86" s="142"/>
      <c r="M86" s="142"/>
      <c r="N86" s="142"/>
      <c r="O86" s="143"/>
      <c r="P86" s="61"/>
      <c r="Q86" s="63" t="str">
        <f>IF(ISBLANK(P86),IncompleteText, IF(P86, OKText, ErrorText))</f>
        <v>BLANK</v>
      </c>
    </row>
    <row r="87" spans="1:17" x14ac:dyDescent="0.25">
      <c r="A87" s="150" t="s">
        <v>225</v>
      </c>
      <c r="B87" s="150"/>
      <c r="C87" s="150"/>
      <c r="D87" s="150"/>
      <c r="E87" s="150"/>
      <c r="F87" s="151"/>
      <c r="G87" s="47"/>
      <c r="H87" s="49" t="str">
        <f>IF(G$84="供应商采购 From suppliers",OKText,IF(ISBLANK(G87),IncompleteText,IF(G87,OKText,ErrorText)))</f>
        <v>BLANK</v>
      </c>
      <c r="J87" s="105" t="s">
        <v>210</v>
      </c>
      <c r="K87" s="105"/>
      <c r="L87" s="105"/>
      <c r="M87" s="105"/>
      <c r="N87" s="105"/>
      <c r="O87" s="105"/>
      <c r="P87" s="105"/>
      <c r="Q87" s="69" t="s">
        <v>232</v>
      </c>
    </row>
    <row r="88" spans="1:17" ht="31.5" customHeight="1" x14ac:dyDescent="0.25">
      <c r="A88" s="155" t="s">
        <v>224</v>
      </c>
      <c r="B88" s="155"/>
      <c r="C88" s="155"/>
      <c r="D88" s="155"/>
      <c r="E88" s="155"/>
      <c r="F88" s="190"/>
      <c r="G88" s="47"/>
      <c r="H88" s="49" t="str">
        <f>IF(G$84="供应商采购 From suppliers",OKText,IF(ISBLANK(G88),IncompleteText,IF(G88,ErrorText,OKText)))</f>
        <v>BLANK</v>
      </c>
      <c r="J88" s="144"/>
      <c r="K88" s="144"/>
      <c r="L88" s="144"/>
      <c r="M88" s="144"/>
      <c r="N88" s="144"/>
      <c r="O88" s="144"/>
      <c r="P88" s="144"/>
      <c r="Q88" s="145" t="s">
        <v>551</v>
      </c>
    </row>
    <row r="89" spans="1:17" x14ac:dyDescent="0.25">
      <c r="A89" s="150" t="s">
        <v>226</v>
      </c>
      <c r="B89" s="150"/>
      <c r="C89" s="150"/>
      <c r="D89" s="150"/>
      <c r="E89" s="150"/>
      <c r="F89" s="151"/>
      <c r="G89" s="32"/>
      <c r="H89" s="49" t="str">
        <f>IF(G$84="供应商采购 From suppliers",OKText,IF(ISBLANK(G89),IncompleteText,OKText))</f>
        <v>BLANK</v>
      </c>
      <c r="J89" s="144"/>
      <c r="K89" s="144"/>
      <c r="L89" s="144"/>
      <c r="M89" s="144"/>
      <c r="N89" s="144"/>
      <c r="O89" s="144"/>
      <c r="P89" s="144"/>
      <c r="Q89" s="146"/>
    </row>
    <row r="90" spans="1:17" x14ac:dyDescent="0.25">
      <c r="A90" s="150" t="s">
        <v>228</v>
      </c>
      <c r="B90" s="150"/>
      <c r="C90" s="150"/>
      <c r="D90" s="150"/>
      <c r="E90" s="150"/>
      <c r="F90" s="151"/>
      <c r="G90" s="47"/>
      <c r="H90" s="49" t="str">
        <f>IF(G$84="供应商采购 From suppliers",OKText,IF(ISBLANK(G90),IncompleteText,IF(ISBLANK(G90),ErrorText,OKText)))</f>
        <v>BLANK</v>
      </c>
      <c r="J90" s="144"/>
      <c r="K90" s="144"/>
      <c r="L90" s="144"/>
      <c r="M90" s="144"/>
      <c r="N90" s="144"/>
      <c r="O90" s="144"/>
      <c r="P90" s="144"/>
      <c r="Q90" s="147"/>
    </row>
    <row r="91" spans="1:17" x14ac:dyDescent="0.25">
      <c r="A91" s="150" t="s">
        <v>467</v>
      </c>
      <c r="B91" s="150"/>
      <c r="C91" s="150"/>
      <c r="D91" s="150"/>
      <c r="E91" s="150"/>
      <c r="F91" s="151"/>
      <c r="G91" s="47"/>
      <c r="H91" s="49" t="str">
        <f>IF(ISBLANK(G91),IncompleteText, OKText)</f>
        <v>BLANK</v>
      </c>
    </row>
    <row r="92" spans="1:17" ht="29.25" customHeight="1" x14ac:dyDescent="0.25">
      <c r="A92" s="155" t="s">
        <v>229</v>
      </c>
      <c r="B92" s="155"/>
      <c r="C92" s="155"/>
      <c r="D92" s="155"/>
      <c r="E92" s="155"/>
      <c r="F92" s="190"/>
      <c r="G92" s="47"/>
      <c r="H92" s="49" t="str">
        <f>IF(ISBLANK(G92),IncompleteText, IF(G92, OKText, ErrorText))</f>
        <v>BLANK</v>
      </c>
    </row>
    <row r="94" spans="1:17" x14ac:dyDescent="0.25">
      <c r="A94" s="208" t="s">
        <v>230</v>
      </c>
      <c r="B94" s="83"/>
      <c r="C94" s="83"/>
      <c r="D94" s="83"/>
      <c r="E94" s="83"/>
      <c r="F94" s="83"/>
      <c r="G94" s="83"/>
    </row>
    <row r="95" spans="1:17" x14ac:dyDescent="0.25">
      <c r="A95" s="199"/>
      <c r="B95" s="199"/>
      <c r="C95" s="199"/>
      <c r="D95" s="199"/>
      <c r="E95" s="199"/>
      <c r="F95" s="199"/>
      <c r="G95" s="199"/>
    </row>
    <row r="96" spans="1:17" x14ac:dyDescent="0.25">
      <c r="A96" s="199"/>
      <c r="B96" s="199"/>
      <c r="C96" s="199"/>
      <c r="D96" s="199"/>
      <c r="E96" s="199"/>
      <c r="F96" s="199"/>
      <c r="G96" s="199"/>
    </row>
    <row r="97" spans="1:7" x14ac:dyDescent="0.25">
      <c r="A97" s="199"/>
      <c r="B97" s="199"/>
      <c r="C97" s="199"/>
      <c r="D97" s="199"/>
      <c r="E97" s="199"/>
      <c r="F97" s="199"/>
      <c r="G97" s="199"/>
    </row>
    <row r="98" spans="1:7" x14ac:dyDescent="0.25">
      <c r="A98" s="199"/>
      <c r="B98" s="199"/>
      <c r="C98" s="199"/>
      <c r="D98" s="199"/>
      <c r="E98" s="199"/>
      <c r="F98" s="199"/>
      <c r="G98" s="199"/>
    </row>
  </sheetData>
  <sheetProtection algorithmName="SHA-512" hashValue="U9oll8xEN8r81jjme57L9TclbzBRNUT5QUsmKsnrXpid+M8mfd5LBdF/dIj6Mg03TtT8kFbWngfZ2zEXIaWr8w==" saltValue="429dqaqd+eFZvnBBBvBCtg==" spinCount="100000" sheet="1" scenarios="1" insertHyperlinks="0"/>
  <dataConsolidate/>
  <mergeCells count="195">
    <mergeCell ref="A95:G98"/>
    <mergeCell ref="A88:F88"/>
    <mergeCell ref="A89:F89"/>
    <mergeCell ref="A90:F90"/>
    <mergeCell ref="A91:F91"/>
    <mergeCell ref="A92:F92"/>
    <mergeCell ref="A94:G94"/>
    <mergeCell ref="A64:H82"/>
    <mergeCell ref="A83:G83"/>
    <mergeCell ref="A84:F84"/>
    <mergeCell ref="A85:F85"/>
    <mergeCell ref="A86:F86"/>
    <mergeCell ref="A87:F87"/>
    <mergeCell ref="AK55:AQ59"/>
    <mergeCell ref="AR55:AR59"/>
    <mergeCell ref="AT55:AZ59"/>
    <mergeCell ref="BA55:BA59"/>
    <mergeCell ref="A56:F56"/>
    <mergeCell ref="J56:O56"/>
    <mergeCell ref="A57:G57"/>
    <mergeCell ref="J57:P57"/>
    <mergeCell ref="S57:Y60"/>
    <mergeCell ref="Z57:Z60"/>
    <mergeCell ref="A55:F55"/>
    <mergeCell ref="J55:O55"/>
    <mergeCell ref="S55:Y56"/>
    <mergeCell ref="Z55:Z56"/>
    <mergeCell ref="AB55:AH59"/>
    <mergeCell ref="AI55:AI59"/>
    <mergeCell ref="A58:G60"/>
    <mergeCell ref="H58:H60"/>
    <mergeCell ref="J58:P60"/>
    <mergeCell ref="Q58:Q60"/>
    <mergeCell ref="A54:F54"/>
    <mergeCell ref="J54:O54"/>
    <mergeCell ref="S54:X54"/>
    <mergeCell ref="AB54:AH54"/>
    <mergeCell ref="AK54:AQ54"/>
    <mergeCell ref="AT54:AZ54"/>
    <mergeCell ref="A53:F53"/>
    <mergeCell ref="J53:O53"/>
    <mergeCell ref="S53:X53"/>
    <mergeCell ref="AB53:AG53"/>
    <mergeCell ref="AK53:AP53"/>
    <mergeCell ref="AT53:AY53"/>
    <mergeCell ref="AT33:BA51"/>
    <mergeCell ref="A52:G52"/>
    <mergeCell ref="J52:P52"/>
    <mergeCell ref="S52:Y52"/>
    <mergeCell ref="AB52:AH52"/>
    <mergeCell ref="AK52:AQ52"/>
    <mergeCell ref="AT52:AZ52"/>
    <mergeCell ref="K30:N30"/>
    <mergeCell ref="A33:H51"/>
    <mergeCell ref="J33:Q51"/>
    <mergeCell ref="S33:Z51"/>
    <mergeCell ref="AB33:AI51"/>
    <mergeCell ref="AK33:AR51"/>
    <mergeCell ref="F28:G28"/>
    <mergeCell ref="H28:I28"/>
    <mergeCell ref="K28:N28"/>
    <mergeCell ref="F29:G29"/>
    <mergeCell ref="H29:I29"/>
    <mergeCell ref="K29:N29"/>
    <mergeCell ref="F26:G26"/>
    <mergeCell ref="H26:I26"/>
    <mergeCell ref="K26:N26"/>
    <mergeCell ref="F27:G27"/>
    <mergeCell ref="H27:I27"/>
    <mergeCell ref="K27:N27"/>
    <mergeCell ref="O21:P21"/>
    <mergeCell ref="R21:T21"/>
    <mergeCell ref="O27:P27"/>
    <mergeCell ref="F24:G24"/>
    <mergeCell ref="H24:I24"/>
    <mergeCell ref="K24:N24"/>
    <mergeCell ref="F25:G25"/>
    <mergeCell ref="H25:I25"/>
    <mergeCell ref="K25:N25"/>
    <mergeCell ref="F22:G22"/>
    <mergeCell ref="H22:I22"/>
    <mergeCell ref="K22:P22"/>
    <mergeCell ref="F23:G23"/>
    <mergeCell ref="H23:I23"/>
    <mergeCell ref="K23:N23"/>
    <mergeCell ref="O23:P23"/>
    <mergeCell ref="AM9:AS29"/>
    <mergeCell ref="AE12:AH12"/>
    <mergeCell ref="U14:V14"/>
    <mergeCell ref="X14:AA14"/>
    <mergeCell ref="F12:G12"/>
    <mergeCell ref="H12:I12"/>
    <mergeCell ref="K12:N12"/>
    <mergeCell ref="R12:T12"/>
    <mergeCell ref="X12:AA12"/>
    <mergeCell ref="AB12:AC12"/>
    <mergeCell ref="F13:G13"/>
    <mergeCell ref="H13:I13"/>
    <mergeCell ref="K13:N13"/>
    <mergeCell ref="R13:V13"/>
    <mergeCell ref="X13:AA13"/>
    <mergeCell ref="F14:G14"/>
    <mergeCell ref="H14:I14"/>
    <mergeCell ref="F20:G20"/>
    <mergeCell ref="H20:I20"/>
    <mergeCell ref="K20:N20"/>
    <mergeCell ref="O20:P20"/>
    <mergeCell ref="F21:G21"/>
    <mergeCell ref="H21:I21"/>
    <mergeCell ref="K21:N21"/>
    <mergeCell ref="R10:T10"/>
    <mergeCell ref="X10:AA10"/>
    <mergeCell ref="L11:M11"/>
    <mergeCell ref="O11:P11"/>
    <mergeCell ref="R8:V8"/>
    <mergeCell ref="X8:AC8"/>
    <mergeCell ref="X18:AA18"/>
    <mergeCell ref="F19:G19"/>
    <mergeCell ref="H19:I19"/>
    <mergeCell ref="K19:N19"/>
    <mergeCell ref="O19:P19"/>
    <mergeCell ref="R19:T19"/>
    <mergeCell ref="U19:V19"/>
    <mergeCell ref="AE8:AJ8"/>
    <mergeCell ref="AM8:AS8"/>
    <mergeCell ref="AU8:BA8"/>
    <mergeCell ref="A9:C9"/>
    <mergeCell ref="D9:E9"/>
    <mergeCell ref="K9:N9"/>
    <mergeCell ref="O9:P9"/>
    <mergeCell ref="R9:T9"/>
    <mergeCell ref="AU9:BA29"/>
    <mergeCell ref="A10:A11"/>
    <mergeCell ref="B10:B11"/>
    <mergeCell ref="C10:C11"/>
    <mergeCell ref="D10:D11"/>
    <mergeCell ref="E10:E11"/>
    <mergeCell ref="F10:G11"/>
    <mergeCell ref="H10:I11"/>
    <mergeCell ref="K10:N10"/>
    <mergeCell ref="O10:P10"/>
    <mergeCell ref="U9:V9"/>
    <mergeCell ref="X9:AA9"/>
    <mergeCell ref="AB9:AC9"/>
    <mergeCell ref="AE10:AH10"/>
    <mergeCell ref="AE9:AH9"/>
    <mergeCell ref="AI9:AJ9"/>
    <mergeCell ref="J86:O86"/>
    <mergeCell ref="J87:P87"/>
    <mergeCell ref="J88:P90"/>
    <mergeCell ref="Q88:Q90"/>
    <mergeCell ref="A3:D3"/>
    <mergeCell ref="A4:D4"/>
    <mergeCell ref="A5:D5"/>
    <mergeCell ref="A6:D6"/>
    <mergeCell ref="A8:I8"/>
    <mergeCell ref="K8:P8"/>
    <mergeCell ref="F16:G16"/>
    <mergeCell ref="H16:I16"/>
    <mergeCell ref="K16:P16"/>
    <mergeCell ref="F15:G15"/>
    <mergeCell ref="H15:I15"/>
    <mergeCell ref="K15:N15"/>
    <mergeCell ref="O15:P15"/>
    <mergeCell ref="F17:G17"/>
    <mergeCell ref="H17:I17"/>
    <mergeCell ref="K17:N17"/>
    <mergeCell ref="F18:G18"/>
    <mergeCell ref="H18:I18"/>
    <mergeCell ref="K18:N18"/>
    <mergeCell ref="O18:P18"/>
    <mergeCell ref="AE11:AH11"/>
    <mergeCell ref="AE13:AH13"/>
    <mergeCell ref="AI13:AJ13"/>
    <mergeCell ref="J64:Q82"/>
    <mergeCell ref="J83:P83"/>
    <mergeCell ref="J84:O84"/>
    <mergeCell ref="J85:O85"/>
    <mergeCell ref="AI10:AJ10"/>
    <mergeCell ref="R11:T11"/>
    <mergeCell ref="U11:V11"/>
    <mergeCell ref="X11:AA11"/>
    <mergeCell ref="AB15:AC15"/>
    <mergeCell ref="R16:T16"/>
    <mergeCell ref="X16:AA16"/>
    <mergeCell ref="R15:T15"/>
    <mergeCell ref="X15:AA15"/>
    <mergeCell ref="R17:T17"/>
    <mergeCell ref="X17:AA17"/>
    <mergeCell ref="R18:V18"/>
    <mergeCell ref="R20:T20"/>
    <mergeCell ref="O26:P26"/>
    <mergeCell ref="K14:N14"/>
    <mergeCell ref="O14:P14"/>
    <mergeCell ref="R14:T14"/>
  </mergeCells>
  <phoneticPr fontId="12" type="noConversion"/>
  <conditionalFormatting sqref="A85:H86">
    <cfRule type="expression" dxfId="29" priority="3">
      <formula>$G$84="车队自制电路 Self-designed"</formula>
    </cfRule>
  </conditionalFormatting>
  <conditionalFormatting sqref="A87:H90">
    <cfRule type="expression" dxfId="28" priority="2">
      <formula>$G$84="供应商采购 From Suppliers"</formula>
    </cfRule>
  </conditionalFormatting>
  <conditionalFormatting sqref="K14:K15 O14:O15">
    <cfRule type="expression" dxfId="27" priority="6">
      <formula>$O$10="供应商提供 From Suppliers"</formula>
    </cfRule>
  </conditionalFormatting>
  <conditionalFormatting sqref="K20 O20:P20">
    <cfRule type="expression" dxfId="26" priority="5">
      <formula>$O$19&lt;&gt;"其他 Other"</formula>
    </cfRule>
  </conditionalFormatting>
  <conditionalFormatting sqref="K24 O24:Q24">
    <cfRule type="expression" dxfId="25" priority="4">
      <formula>$O$23="极耳 Cell tabs"</formula>
    </cfRule>
  </conditionalFormatting>
  <conditionalFormatting sqref="K11:L11 N11:O11">
    <cfRule type="expression" dxfId="24" priority="7">
      <formula>$O$10="车队自制 Team design"</formula>
    </cfRule>
  </conditionalFormatting>
  <conditionalFormatting sqref="AE10:AK13">
    <cfRule type="expression" dxfId="23" priority="1">
      <formula>$AI$9="否 No"</formula>
    </cfRule>
  </conditionalFormatting>
  <dataValidations count="14">
    <dataValidation type="list" allowBlank="1" showInputMessage="1" showErrorMessage="1" sqref="AI10:AJ10" xr:uid="{64BAF964-6B7A-490A-8BCD-FA0B070A3485}">
      <formula1>"50V-150V,150V-300V,300V-600V"</formula1>
    </dataValidation>
    <dataValidation type="list" allowBlank="1" showInputMessage="1" showErrorMessage="1" sqref="G84" xr:uid="{80D49CEE-2EBA-48AC-9856-17731129A1C1}">
      <formula1>"车队自制电路 Self-designed,供应商采购 From suppliers"</formula1>
    </dataValidation>
    <dataValidation type="list" allowBlank="1" showInputMessage="1" showErrorMessage="1" sqref="AB9:AC9 AB12:AC12 AB15" xr:uid="{99F89A49-54CE-41E2-890E-C7B00F1BCB95}">
      <formula1>InsulationNames</formula1>
    </dataValidation>
    <dataValidation type="list" allowBlank="1" showInputMessage="1" showErrorMessage="1" sqref="U9:V9" xr:uid="{057C27D8-2D6F-49F2-ADD2-A6C5855B3B52}">
      <formula1>ConnectorNames</formula1>
    </dataValidation>
    <dataValidation type="list" allowBlank="1" showInputMessage="1" showErrorMessage="1" sqref="U14" xr:uid="{1DD8246C-6539-44CA-80BB-336E819C5CFF}">
      <formula1>ContactorNames</formula1>
    </dataValidation>
    <dataValidation type="list" allowBlank="1" showInputMessage="1" showErrorMessage="1" sqref="G53:G56 P53:P56 Y53:Y54 AH53 AZ53 AQ53 G92 G87:G88 G90 P84:P86" xr:uid="{6EB8F22C-4F63-4CA3-A345-8EC9E62EC456}">
      <formula1>"TRUE,FALSE"</formula1>
    </dataValidation>
    <dataValidation type="list" allowBlank="1" showInputMessage="1" showErrorMessage="1" sqref="O23:P23" xr:uid="{6EF32BCC-E9EE-4A95-908A-A0910A91B911}">
      <formula1>"极耳 Cell tabs,铜排 Busbar"</formula1>
    </dataValidation>
    <dataValidation type="list" allowBlank="1" showInputMessage="1" showErrorMessage="1" sqref="O9:P9" xr:uid="{7589D722-115F-4D1F-BD11-B852517969D9}">
      <formula1>"分布式 Distributed,集中式 Centralized"</formula1>
    </dataValidation>
    <dataValidation type="list" allowBlank="1" showInputMessage="1" showErrorMessage="1" sqref="O19:P19" xr:uid="{D095364F-E641-4F96-9CCA-C7F39C2D3B2A}">
      <formula1>"BMS PCB,导线 Wiring, 其他 Other"</formula1>
    </dataValidation>
    <dataValidation type="list" allowBlank="1" showInputMessage="1" showErrorMessage="1" sqref="O10:P10" xr:uid="{E3CEB5E8-F9A8-4968-9818-A88CBD58AC4F}">
      <formula1>"供应商提供 From Suppliers, 车队设计 Team design"</formula1>
    </dataValidation>
    <dataValidation type="list" allowBlank="1" showInputMessage="1" showErrorMessage="1" sqref="O18:P18 U11:V11 U19:V19 G91" xr:uid="{4806DEC8-7100-49DF-BFC7-4A924B163C8A}">
      <formula1>FuseName</formula1>
    </dataValidation>
    <dataValidation type="list" allowBlank="1" showInputMessage="1" showErrorMessage="1" sqref="D9:E9" xr:uid="{4F965077-8CE6-46B0-BBD8-5F634688E72F}">
      <formula1>"先并后串 Parallel then serial, 先串后并 Serial then parallel"</formula1>
    </dataValidation>
    <dataValidation type="list" allowBlank="1" showInputMessage="1" showErrorMessage="1" sqref="E3" xr:uid="{0A9BAE0F-A63F-432B-B293-9CFB7F82F5DA}">
      <formula1>"并联 Parallel,串联 Serial"</formula1>
    </dataValidation>
    <dataValidation type="list" allowBlank="1" showInputMessage="1" showErrorMessage="1" sqref="AI9:AJ9 AI13:AJ13" xr:uid="{4744D15F-79FF-43EC-9E3D-568F37945E0E}">
      <formula1>"是 Yes, 否 No"</formula1>
    </dataValidation>
  </dataValidation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2C66D-118B-4405-A04B-14763C2F2D55}">
  <sheetPr codeName="Sheet5"/>
  <dimension ref="A1:BA112"/>
  <sheetViews>
    <sheetView zoomScale="85" zoomScaleNormal="85" workbookViewId="0">
      <selection activeCell="A72" sqref="A72:G74"/>
    </sheetView>
  </sheetViews>
  <sheetFormatPr defaultColWidth="10.6640625" defaultRowHeight="13.8" x14ac:dyDescent="0.25"/>
  <cols>
    <col min="1" max="1" width="14.21875" style="60" customWidth="1"/>
    <col min="2" max="3" width="10.6640625" style="60"/>
    <col min="4" max="4" width="12.33203125" style="60" customWidth="1"/>
    <col min="5" max="5" width="15.88671875" style="60" customWidth="1"/>
    <col min="6" max="6" width="10.6640625" style="60"/>
    <col min="7" max="7" width="15.21875" style="60" customWidth="1"/>
    <col min="8" max="8" width="16.77734375" style="60" customWidth="1"/>
    <col min="9" max="9" width="10.6640625" style="60"/>
    <col min="10" max="10" width="10.6640625" style="60" customWidth="1"/>
    <col min="11" max="11" width="11.77734375" style="60" customWidth="1"/>
    <col min="12" max="13" width="10.6640625" style="60"/>
    <col min="14" max="14" width="19.77734375" style="60" customWidth="1"/>
    <col min="15" max="16" width="10.6640625" style="60"/>
    <col min="17" max="17" width="16.88671875" style="60" customWidth="1"/>
    <col min="18" max="19" width="10.6640625" style="60"/>
    <col min="20" max="20" width="12.77734375" style="60" customWidth="1"/>
    <col min="21" max="25" width="10.6640625" style="60"/>
    <col min="26" max="26" width="10.6640625" style="60" customWidth="1"/>
    <col min="27" max="33" width="10.6640625" style="60"/>
    <col min="34" max="34" width="14.44140625" style="60" customWidth="1"/>
    <col min="35" max="16384" width="10.6640625" style="60"/>
  </cols>
  <sheetData>
    <row r="1" spans="1:14" x14ac:dyDescent="0.25">
      <c r="A1" s="62" t="s">
        <v>72</v>
      </c>
      <c r="B1" s="63" t="str">
        <f ca="1">IF(N1="否 No", OKText, IF(SUM(COUNTIF(INDIRECT({"$E$3","$G$17","$G$18","$G$19","$J$22","$Q$22","$W$22","$AD$22","$AK$22","$Z$66","$Q$66","$H$66","$AI$66","$AR$66","$BA$66","$Q$97","$H$97"}), "="&amp;IncompleteText)), IncompleteText, IF(SUM(COUNTIF(INDIRECT({"$E$3","$G$17","$G$18","$G$19","$J$22","$Q$22","$W$22","$AD$22","$AK$22","$Z$66","$Q$66","$H$66","$AI$66","$AR$66","$BA$66","$Q$97","$H$97"}), "="&amp;ErrorText)), ErrorText, OKText)))</f>
        <v>BLANK</v>
      </c>
      <c r="I1" s="211" t="s">
        <v>553</v>
      </c>
      <c r="J1" s="211"/>
      <c r="K1" s="211"/>
      <c r="L1" s="211"/>
      <c r="M1" s="212"/>
      <c r="N1" s="56"/>
    </row>
    <row r="3" spans="1:14" x14ac:dyDescent="0.25">
      <c r="A3" s="105" t="s">
        <v>73</v>
      </c>
      <c r="B3" s="105"/>
      <c r="C3" s="105"/>
      <c r="D3" s="105"/>
      <c r="E3" s="72" t="str">
        <f>IF(COUNTBLANK(C4:C14)&gt;0, IncompleteText, OKText)</f>
        <v>BLANK</v>
      </c>
    </row>
    <row r="4" spans="1:14" x14ac:dyDescent="0.25">
      <c r="A4" s="106" t="s">
        <v>74</v>
      </c>
      <c r="B4" s="106"/>
      <c r="C4" s="108"/>
      <c r="D4" s="108"/>
      <c r="I4" s="209" t="s">
        <v>554</v>
      </c>
      <c r="J4" s="210"/>
      <c r="K4" s="210"/>
      <c r="L4" s="210"/>
      <c r="M4" s="210"/>
      <c r="N4" s="210"/>
    </row>
    <row r="5" spans="1:14" x14ac:dyDescent="0.25">
      <c r="A5" s="106" t="s">
        <v>75</v>
      </c>
      <c r="B5" s="106"/>
      <c r="C5" s="108"/>
      <c r="D5" s="108"/>
      <c r="I5" s="210"/>
      <c r="J5" s="210"/>
      <c r="K5" s="210"/>
      <c r="L5" s="210"/>
      <c r="M5" s="210"/>
      <c r="N5" s="210"/>
    </row>
    <row r="6" spans="1:14" x14ac:dyDescent="0.25">
      <c r="A6" s="106" t="s">
        <v>76</v>
      </c>
      <c r="B6" s="106"/>
      <c r="C6" s="3"/>
      <c r="D6" s="71" t="s">
        <v>4</v>
      </c>
      <c r="I6" s="210"/>
      <c r="J6" s="210"/>
      <c r="K6" s="210"/>
      <c r="L6" s="210"/>
      <c r="M6" s="210"/>
      <c r="N6" s="210"/>
    </row>
    <row r="7" spans="1:14" x14ac:dyDescent="0.25">
      <c r="A7" s="106" t="s">
        <v>77</v>
      </c>
      <c r="B7" s="106"/>
      <c r="C7" s="3"/>
      <c r="D7" s="71" t="s">
        <v>0</v>
      </c>
      <c r="I7" s="210"/>
      <c r="J7" s="210"/>
      <c r="K7" s="210"/>
      <c r="L7" s="210"/>
      <c r="M7" s="210"/>
      <c r="N7" s="210"/>
    </row>
    <row r="8" spans="1:14" x14ac:dyDescent="0.25">
      <c r="A8" s="106" t="s">
        <v>78</v>
      </c>
      <c r="B8" s="106"/>
      <c r="C8" s="3"/>
      <c r="D8" s="71" t="s">
        <v>0</v>
      </c>
    </row>
    <row r="9" spans="1:14" x14ac:dyDescent="0.25">
      <c r="A9" s="106" t="s">
        <v>79</v>
      </c>
      <c r="B9" s="106"/>
      <c r="C9" s="3"/>
      <c r="D9" s="71" t="s">
        <v>0</v>
      </c>
    </row>
    <row r="10" spans="1:14" x14ac:dyDescent="0.25">
      <c r="A10" s="106" t="s">
        <v>80</v>
      </c>
      <c r="B10" s="106"/>
      <c r="C10" s="3"/>
      <c r="D10" s="71" t="s">
        <v>2</v>
      </c>
    </row>
    <row r="11" spans="1:14" x14ac:dyDescent="0.25">
      <c r="A11" s="106" t="s">
        <v>81</v>
      </c>
      <c r="B11" s="106"/>
      <c r="C11" s="3"/>
      <c r="D11" s="71" t="s">
        <v>2</v>
      </c>
    </row>
    <row r="12" spans="1:14" x14ac:dyDescent="0.25">
      <c r="A12" s="106" t="s">
        <v>82</v>
      </c>
      <c r="B12" s="106"/>
      <c r="C12" s="3"/>
      <c r="D12" s="71" t="s">
        <v>5</v>
      </c>
    </row>
    <row r="13" spans="1:14" x14ac:dyDescent="0.25">
      <c r="A13" s="106" t="s">
        <v>83</v>
      </c>
      <c r="B13" s="106"/>
      <c r="C13" s="108"/>
      <c r="D13" s="108"/>
    </row>
    <row r="14" spans="1:14" x14ac:dyDescent="0.25">
      <c r="A14" s="106" t="s">
        <v>84</v>
      </c>
      <c r="B14" s="109"/>
      <c r="C14" s="108"/>
      <c r="D14" s="108"/>
    </row>
    <row r="17" spans="1:53" x14ac:dyDescent="0.25">
      <c r="A17" s="106" t="s">
        <v>161</v>
      </c>
      <c r="B17" s="106"/>
      <c r="C17" s="106"/>
      <c r="D17" s="109"/>
      <c r="E17" s="61"/>
      <c r="F17" s="55"/>
      <c r="G17" s="63" t="str">
        <f>IF(ISBLANK(E17), IncompleteText, OKText)</f>
        <v>BLANK</v>
      </c>
    </row>
    <row r="18" spans="1:53" x14ac:dyDescent="0.25">
      <c r="A18" s="106" t="s">
        <v>68</v>
      </c>
      <c r="B18" s="106"/>
      <c r="C18" s="106"/>
      <c r="D18" s="109"/>
      <c r="E18" s="73">
        <f>IF(E17="串联 Serial",SUM(C26:C43)*BattCellMaxV_BK,C26*BattCellMaxV_BK*SUM(IF(FREQUENCY(E26:E43,E26:E43)&gt;0,1)))</f>
        <v>0</v>
      </c>
      <c r="F18" s="55" t="s">
        <v>0</v>
      </c>
      <c r="G18" s="63" t="str">
        <f>IF(MaxTSVoltage=0,IncompleteText,IF(E18 &gt; 600, ErrorText, OKText))</f>
        <v>BLANK</v>
      </c>
    </row>
    <row r="19" spans="1:53" x14ac:dyDescent="0.25">
      <c r="A19" s="106" t="s">
        <v>464</v>
      </c>
      <c r="B19" s="106"/>
      <c r="C19" s="106"/>
      <c r="D19" s="109"/>
      <c r="E19" s="73">
        <f>IF(E17="串联 Serial",SUM(C26:C43)*BattCellNomV_BK,C26*BattCellNomV_BK*SUM(IF(FREQUENCY(E26:E43,E26:E43)&gt;0,1)))</f>
        <v>0</v>
      </c>
      <c r="F19" s="55" t="s">
        <v>0</v>
      </c>
      <c r="G19" s="63" t="str">
        <f>IF(MaxTSVoltage=0,IncompleteText,IF(E19 &gt; 600, ErrorText, OKText))</f>
        <v>BLANK</v>
      </c>
    </row>
    <row r="20" spans="1:53" x14ac:dyDescent="0.25">
      <c r="A20" s="106" t="s">
        <v>463</v>
      </c>
      <c r="B20" s="106"/>
      <c r="C20" s="106"/>
      <c r="D20" s="109"/>
      <c r="E20" s="73">
        <f>SUMPRODUCT(B26:B43,C26:C43)</f>
        <v>0</v>
      </c>
      <c r="F20" s="55"/>
      <c r="G20" s="63"/>
    </row>
    <row r="22" spans="1:53" x14ac:dyDescent="0.25">
      <c r="A22" s="105" t="s">
        <v>163</v>
      </c>
      <c r="B22" s="105"/>
      <c r="C22" s="105"/>
      <c r="D22" s="105"/>
      <c r="E22" s="105"/>
      <c r="F22" s="105"/>
      <c r="G22" s="105"/>
      <c r="H22" s="105"/>
      <c r="I22" s="105"/>
      <c r="J22" s="63" t="str">
        <f>IF(COUNTIF(J23:J43, "="&amp;IncompleteText), IncompleteText, IF(COUNTIF(J23:J43, "="&amp;ErrorText), ErrorText, OKText))</f>
        <v>BLANK</v>
      </c>
      <c r="K22" s="105" t="s">
        <v>11</v>
      </c>
      <c r="L22" s="105"/>
      <c r="M22" s="105"/>
      <c r="N22" s="105"/>
      <c r="O22" s="105"/>
      <c r="P22" s="105"/>
      <c r="Q22" s="63" t="str">
        <f>IF(COUNTIF(Q23:Q44, "="&amp;IncompleteText), IncompleteText, IF(COUNTIF(Q23:Q44, "="&amp;ErrorText), ErrorText, OKText))</f>
        <v>BLANK</v>
      </c>
      <c r="R22" s="105" t="s">
        <v>191</v>
      </c>
      <c r="S22" s="105"/>
      <c r="T22" s="105"/>
      <c r="U22" s="105"/>
      <c r="V22" s="105"/>
      <c r="W22" s="63" t="str">
        <f>IF(COUNTIF(W23:W35, "="&amp;IncompleteText), IncompleteText, IF(COUNTIF(W23:W35, "="&amp;ErrorText), ErrorText, OKText))</f>
        <v>BLANK</v>
      </c>
      <c r="X22" s="105" t="s">
        <v>204</v>
      </c>
      <c r="Y22" s="105"/>
      <c r="Z22" s="105"/>
      <c r="AA22" s="105"/>
      <c r="AB22" s="105"/>
      <c r="AC22" s="105"/>
      <c r="AD22" s="63" t="str">
        <f>IF(COUNTIF(AD23:AD32, "="&amp;IncompleteText), IncompleteText, IF(COUNTIF(AD23:AD32, "="&amp;ErrorText), ErrorText, OKText))</f>
        <v>BLANK</v>
      </c>
      <c r="AE22" s="105" t="s">
        <v>503</v>
      </c>
      <c r="AF22" s="105"/>
      <c r="AG22" s="105"/>
      <c r="AH22" s="105"/>
      <c r="AI22" s="105"/>
      <c r="AJ22" s="105"/>
      <c r="AK22" s="63" t="str">
        <f>IF(AI23="否 No", OKText, IF(COUNTIF(AK23:AK27, "="&amp;IncompleteText), IncompleteText, IF(COUNTIF(AK23:AK27, "="&amp;ErrorText), ErrorText, OKText)))</f>
        <v>BLANK</v>
      </c>
      <c r="AM22" s="105" t="s">
        <v>503</v>
      </c>
      <c r="AN22" s="105"/>
      <c r="AO22" s="105"/>
      <c r="AP22" s="105"/>
      <c r="AQ22" s="105"/>
      <c r="AR22" s="105"/>
      <c r="AS22" s="105"/>
      <c r="AU22" s="139" t="s">
        <v>210</v>
      </c>
      <c r="AV22" s="83"/>
      <c r="AW22" s="83"/>
      <c r="AX22" s="83"/>
      <c r="AY22" s="83"/>
      <c r="AZ22" s="83"/>
      <c r="BA22" s="83"/>
    </row>
    <row r="23" spans="1:53" s="33" customFormat="1" ht="18" customHeight="1" x14ac:dyDescent="0.25">
      <c r="A23" s="140" t="s">
        <v>162</v>
      </c>
      <c r="B23" s="140"/>
      <c r="C23" s="141"/>
      <c r="D23" s="152"/>
      <c r="E23" s="153"/>
      <c r="F23" s="64"/>
      <c r="G23" s="64"/>
      <c r="H23" s="64"/>
      <c r="I23" s="64"/>
      <c r="J23" s="54" t="str">
        <f>IF(ISBLANK(D23), IncompleteText, OKText)</f>
        <v>BLANK</v>
      </c>
      <c r="K23" s="140" t="s">
        <v>171</v>
      </c>
      <c r="L23" s="140"/>
      <c r="M23" s="140"/>
      <c r="N23" s="141"/>
      <c r="O23" s="154"/>
      <c r="P23" s="154"/>
      <c r="Q23" s="54" t="str">
        <f>IF(ISBLANK(O23), IncompleteText, OKText)</f>
        <v>BLANK</v>
      </c>
      <c r="R23" s="140" t="s">
        <v>192</v>
      </c>
      <c r="S23" s="140"/>
      <c r="T23" s="141"/>
      <c r="U23" s="152"/>
      <c r="V23" s="153"/>
      <c r="W23" s="54" t="str">
        <f>IF(ISBLANK(U23), IncompleteText, OKText)</f>
        <v>BLANK</v>
      </c>
      <c r="X23" s="157" t="s">
        <v>450</v>
      </c>
      <c r="Y23" s="157"/>
      <c r="Z23" s="157"/>
      <c r="AA23" s="158"/>
      <c r="AB23" s="154"/>
      <c r="AC23" s="154"/>
      <c r="AD23" s="54" t="str">
        <f>IF(ISBLANK(AB23), IncompleteText, OKText)</f>
        <v>BLANK</v>
      </c>
      <c r="AE23" s="157" t="s">
        <v>527</v>
      </c>
      <c r="AF23" s="157"/>
      <c r="AG23" s="157"/>
      <c r="AH23" s="159"/>
      <c r="AI23" s="132"/>
      <c r="AJ23" s="132"/>
      <c r="AK23" s="54" t="str">
        <f>IF(ISBLANK(AI23), IncompleteText, OKText)</f>
        <v>BLANK</v>
      </c>
      <c r="AM23" s="127" t="s">
        <v>508</v>
      </c>
      <c r="AN23" s="127"/>
      <c r="AO23" s="127"/>
      <c r="AP23" s="127"/>
      <c r="AQ23" s="127"/>
      <c r="AR23" s="127"/>
      <c r="AS23" s="127"/>
      <c r="AU23" s="127" t="s">
        <v>465</v>
      </c>
      <c r="AV23" s="127"/>
      <c r="AW23" s="127"/>
      <c r="AX23" s="127"/>
      <c r="AY23" s="127"/>
      <c r="AZ23" s="127"/>
      <c r="BA23" s="127"/>
    </row>
    <row r="24" spans="1:53" x14ac:dyDescent="0.25">
      <c r="A24" s="142" t="s">
        <v>164</v>
      </c>
      <c r="B24" s="142" t="s">
        <v>165</v>
      </c>
      <c r="C24" s="155" t="s">
        <v>166</v>
      </c>
      <c r="D24" s="155" t="s">
        <v>167</v>
      </c>
      <c r="E24" s="156" t="s">
        <v>168</v>
      </c>
      <c r="F24" s="156" t="s">
        <v>169</v>
      </c>
      <c r="G24" s="156"/>
      <c r="H24" s="156" t="s">
        <v>170</v>
      </c>
      <c r="I24" s="156"/>
      <c r="J24" s="62"/>
      <c r="K24" s="140" t="s">
        <v>172</v>
      </c>
      <c r="L24" s="140"/>
      <c r="M24" s="140"/>
      <c r="N24" s="141"/>
      <c r="O24" s="108"/>
      <c r="P24" s="108"/>
      <c r="Q24" s="63" t="str">
        <f>IF(ISBLANK(O24), IncompleteText, OKText)</f>
        <v>BLANK</v>
      </c>
      <c r="R24" s="133" t="s">
        <v>193</v>
      </c>
      <c r="S24" s="133"/>
      <c r="T24" s="134"/>
      <c r="U24" s="73" t="e">
        <f>VLOOKUP(U23, ConnectorTable, 3, FALSE)</f>
        <v>#N/A</v>
      </c>
      <c r="V24" s="55" t="s">
        <v>2</v>
      </c>
      <c r="W24" s="63" t="str">
        <f>IF(ISERROR(U24),IncompleteText,IF(E17="串联 Serial",IF(U24&gt;=U34,OKText,ErrorText),IF(E17="并联 Parallel",IF(U24&gt;=U26,OKText,ErrorText),IncompleteText)))</f>
        <v>BLANK</v>
      </c>
      <c r="X24" s="133" t="s">
        <v>205</v>
      </c>
      <c r="Y24" s="133"/>
      <c r="Z24" s="133"/>
      <c r="AA24" s="134"/>
      <c r="AB24" s="73" t="e">
        <f>VLOOKUP(AB23, InsulationsTable, 4, FALSE)</f>
        <v>#N/A</v>
      </c>
      <c r="AC24" s="55" t="s">
        <v>0</v>
      </c>
      <c r="AD24" s="63" t="str">
        <f>IF(ISERROR(AB24), IncompleteText, IF(AB24 &lt; MaxTSVoltage,  ErrorText, OKText))</f>
        <v>BLANK</v>
      </c>
      <c r="AE24" s="128" t="s">
        <v>483</v>
      </c>
      <c r="AF24" s="128"/>
      <c r="AG24" s="128"/>
      <c r="AH24" s="129"/>
      <c r="AI24" s="132"/>
      <c r="AJ24" s="132"/>
      <c r="AK24" s="54" t="str">
        <f>IF(ISBLANK(AI24), IncompleteText, OKText)</f>
        <v>BLANK</v>
      </c>
      <c r="AM24" s="127"/>
      <c r="AN24" s="127"/>
      <c r="AO24" s="127"/>
      <c r="AP24" s="127"/>
      <c r="AQ24" s="127"/>
      <c r="AR24" s="127"/>
      <c r="AS24" s="127"/>
      <c r="AU24" s="127"/>
      <c r="AV24" s="127"/>
      <c r="AW24" s="127"/>
      <c r="AX24" s="127"/>
      <c r="AY24" s="127"/>
      <c r="AZ24" s="127"/>
      <c r="BA24" s="127"/>
    </row>
    <row r="25" spans="1:53" x14ac:dyDescent="0.25">
      <c r="A25" s="142"/>
      <c r="B25" s="142"/>
      <c r="C25" s="155"/>
      <c r="D25" s="155"/>
      <c r="E25" s="156"/>
      <c r="F25" s="156"/>
      <c r="G25" s="156"/>
      <c r="H25" s="156"/>
      <c r="I25" s="156"/>
      <c r="J25" s="62"/>
      <c r="K25" s="57" t="s">
        <v>528</v>
      </c>
      <c r="L25" s="160"/>
      <c r="M25" s="160"/>
      <c r="N25" s="57" t="s">
        <v>173</v>
      </c>
      <c r="O25" s="108"/>
      <c r="P25" s="108"/>
      <c r="Q25" s="63" t="str">
        <f>IF(O24="供应商提供 From Suppliers", IF(OR(ISBLANK(L25), ISBLANK(O25)), IncompleteText, OKText), "")</f>
        <v/>
      </c>
      <c r="R25" s="133" t="s">
        <v>194</v>
      </c>
      <c r="S25" s="133"/>
      <c r="T25" s="134"/>
      <c r="U25" s="135"/>
      <c r="V25" s="136"/>
      <c r="W25" s="63" t="str">
        <f>IF(E17="串联 Serial","",IF(ISBLANK(U25), IncompleteText, OKText))</f>
        <v>BLANK</v>
      </c>
      <c r="X25" s="133" t="s">
        <v>206</v>
      </c>
      <c r="Y25" s="133"/>
      <c r="Z25" s="133"/>
      <c r="AA25" s="134"/>
      <c r="AB25" s="73" t="e">
        <f>VLOOKUP(AB23, InsulationsTable, 5, FALSE)</f>
        <v>#N/A</v>
      </c>
      <c r="AC25" s="55" t="s">
        <v>5</v>
      </c>
      <c r="AD25" s="63" t="str">
        <f>IF(ISERROR(AB25), IncompleteText, IF(AB25 &lt; 90,  ErrorText, OKText))</f>
        <v>BLANK</v>
      </c>
      <c r="AE25" s="128" t="s">
        <v>484</v>
      </c>
      <c r="AF25" s="128"/>
      <c r="AG25" s="128"/>
      <c r="AH25" s="129"/>
      <c r="AI25" s="74"/>
      <c r="AJ25" s="75" t="s">
        <v>485</v>
      </c>
      <c r="AK25" s="63" t="str">
        <f>IF(ISBLANK(AI25), IncompleteText, OKText)</f>
        <v>BLANK</v>
      </c>
      <c r="AM25" s="127"/>
      <c r="AN25" s="127"/>
      <c r="AO25" s="127"/>
      <c r="AP25" s="127"/>
      <c r="AQ25" s="127"/>
      <c r="AR25" s="127"/>
      <c r="AS25" s="127"/>
      <c r="AU25" s="127"/>
      <c r="AV25" s="127"/>
      <c r="AW25" s="127"/>
      <c r="AX25" s="127"/>
      <c r="AY25" s="127"/>
      <c r="AZ25" s="127"/>
      <c r="BA25" s="127"/>
    </row>
    <row r="26" spans="1:53" x14ac:dyDescent="0.25">
      <c r="A26" s="64">
        <v>1</v>
      </c>
      <c r="B26" s="61"/>
      <c r="C26" s="61"/>
      <c r="D26" s="61"/>
      <c r="E26" s="61"/>
      <c r="F26" s="148">
        <f t="shared" ref="F26:F43" si="0">C26*BattCellMaxV_BK</f>
        <v>0</v>
      </c>
      <c r="G26" s="148"/>
      <c r="H26" s="148">
        <f t="shared" ref="H26:H43" si="1">F26*B26*BattCellCapacity_BK*0.0036</f>
        <v>0</v>
      </c>
      <c r="I26" s="148"/>
      <c r="J26" s="63" t="str">
        <f>IF(COUNTBLANK(A26:E26) &gt; 0, IncompleteText, IF(OR(F26&gt;120, H26&gt;6), ErrorText, OKText))</f>
        <v>BLANK</v>
      </c>
      <c r="K26" s="128" t="s">
        <v>174</v>
      </c>
      <c r="L26" s="128"/>
      <c r="M26" s="128"/>
      <c r="N26" s="163"/>
      <c r="O26" s="61"/>
      <c r="P26" s="55" t="s">
        <v>0</v>
      </c>
      <c r="Q26" s="63" t="str">
        <f>IF(ISBLANK(O26), IncompleteText, IF(O26&lt;E18, ErrorText, OKText))</f>
        <v>BLANK</v>
      </c>
      <c r="R26" s="133" t="s">
        <v>195</v>
      </c>
      <c r="S26" s="133"/>
      <c r="T26" s="134"/>
      <c r="U26" s="73" t="e">
        <f>VLOOKUP(U25, FuseTable, 3, FALSE)</f>
        <v>#N/A</v>
      </c>
      <c r="V26" s="55" t="s">
        <v>2</v>
      </c>
      <c r="W26" s="50"/>
      <c r="X26" s="133" t="s">
        <v>207</v>
      </c>
      <c r="Y26" s="133"/>
      <c r="Z26" s="133"/>
      <c r="AA26" s="134"/>
      <c r="AB26" s="108"/>
      <c r="AC26" s="108"/>
      <c r="AD26" s="63" t="str">
        <f>IF(ISBLANK(AB26), IncompleteText, OKText)</f>
        <v>BLANK</v>
      </c>
      <c r="AE26" s="128" t="s">
        <v>486</v>
      </c>
      <c r="AF26" s="128"/>
      <c r="AG26" s="128"/>
      <c r="AH26" s="129"/>
      <c r="AI26" s="74"/>
      <c r="AJ26" s="75" t="s">
        <v>485</v>
      </c>
      <c r="AK26" s="63" t="str">
        <f>IF(ISBLANK(AI26), IncompleteText, OKText)</f>
        <v>BLANK</v>
      </c>
      <c r="AM26" s="127"/>
      <c r="AN26" s="127"/>
      <c r="AO26" s="127"/>
      <c r="AP26" s="127"/>
      <c r="AQ26" s="127"/>
      <c r="AR26" s="127"/>
      <c r="AS26" s="127"/>
      <c r="AU26" s="127"/>
      <c r="AV26" s="127"/>
      <c r="AW26" s="127"/>
      <c r="AX26" s="127"/>
      <c r="AY26" s="127"/>
      <c r="AZ26" s="127"/>
      <c r="BA26" s="127"/>
    </row>
    <row r="27" spans="1:53" x14ac:dyDescent="0.25">
      <c r="A27" s="64">
        <v>2</v>
      </c>
      <c r="B27" s="61"/>
      <c r="C27" s="61"/>
      <c r="D27" s="61"/>
      <c r="E27" s="61"/>
      <c r="F27" s="148">
        <f t="shared" si="0"/>
        <v>0</v>
      </c>
      <c r="G27" s="148"/>
      <c r="H27" s="148">
        <f t="shared" si="1"/>
        <v>0</v>
      </c>
      <c r="I27" s="148"/>
      <c r="J27" s="63" t="str">
        <f t="shared" ref="J27:J43" si="2">IF(COUNTBLANK(A27:E27)=4,"",IF(COUNTBLANK(A27:E27) &gt; 0, IncompleteText, IF(OR(F27&gt;120, H27&gt;6), ErrorText, OKText)))</f>
        <v/>
      </c>
      <c r="K27" s="140" t="s">
        <v>175</v>
      </c>
      <c r="L27" s="140"/>
      <c r="M27" s="140"/>
      <c r="N27" s="141"/>
      <c r="O27" s="61"/>
      <c r="P27" s="55" t="s">
        <v>0</v>
      </c>
      <c r="Q27" s="63" t="str">
        <f>IF(ISBLANK(O27), IncompleteText, IF(O27&lt;MAX(F26:G43), ErrorText, OKText))</f>
        <v>BLANK</v>
      </c>
      <c r="R27" s="105" t="s">
        <v>19</v>
      </c>
      <c r="S27" s="105"/>
      <c r="T27" s="105"/>
      <c r="U27" s="105"/>
      <c r="V27" s="105"/>
      <c r="W27" s="50"/>
      <c r="X27" s="133" t="s">
        <v>205</v>
      </c>
      <c r="Y27" s="133"/>
      <c r="Z27" s="133"/>
      <c r="AA27" s="134"/>
      <c r="AB27" s="73" t="e">
        <f>VLOOKUP(AB26, InsulationsTable, 4, FALSE)</f>
        <v>#N/A</v>
      </c>
      <c r="AC27" s="55" t="s">
        <v>0</v>
      </c>
      <c r="AD27" s="63" t="str">
        <f>IF(ISERROR(AB27), IncompleteText, IF(AB27 &lt; MaxTSVoltage,  ErrorText, OKText))</f>
        <v>BLANK</v>
      </c>
      <c r="AE27" s="128" t="s">
        <v>487</v>
      </c>
      <c r="AF27" s="128"/>
      <c r="AG27" s="128"/>
      <c r="AH27" s="129"/>
      <c r="AI27" s="130"/>
      <c r="AJ27" s="130"/>
      <c r="AK27" s="63" t="str">
        <f>IF(ISBLANK(AI27), IncompleteText, OKText)</f>
        <v>BLANK</v>
      </c>
      <c r="AM27" s="127"/>
      <c r="AN27" s="127"/>
      <c r="AO27" s="127"/>
      <c r="AP27" s="127"/>
      <c r="AQ27" s="127"/>
      <c r="AR27" s="127"/>
      <c r="AS27" s="127"/>
      <c r="AU27" s="127"/>
      <c r="AV27" s="127"/>
      <c r="AW27" s="127"/>
      <c r="AX27" s="127"/>
      <c r="AY27" s="127"/>
      <c r="AZ27" s="127"/>
      <c r="BA27" s="127"/>
    </row>
    <row r="28" spans="1:53" x14ac:dyDescent="0.25">
      <c r="A28" s="64">
        <v>3</v>
      </c>
      <c r="B28" s="61"/>
      <c r="C28" s="61"/>
      <c r="D28" s="61"/>
      <c r="E28" s="61"/>
      <c r="F28" s="148">
        <f t="shared" si="0"/>
        <v>0</v>
      </c>
      <c r="G28" s="148"/>
      <c r="H28" s="148">
        <f t="shared" si="1"/>
        <v>0</v>
      </c>
      <c r="I28" s="148"/>
      <c r="J28" s="63" t="str">
        <f t="shared" si="2"/>
        <v/>
      </c>
      <c r="K28" s="140" t="s">
        <v>176</v>
      </c>
      <c r="L28" s="140"/>
      <c r="M28" s="140"/>
      <c r="N28" s="141"/>
      <c r="O28" s="137"/>
      <c r="P28" s="138"/>
      <c r="Q28" s="63" t="str">
        <f>IF($O$24="车队自制 Team design", IF(ISBLANK(O28), IncompleteText, OKText), "")</f>
        <v/>
      </c>
      <c r="R28" s="133" t="s">
        <v>196</v>
      </c>
      <c r="S28" s="133"/>
      <c r="T28" s="134"/>
      <c r="U28" s="135"/>
      <c r="V28" s="136"/>
      <c r="W28" s="63" t="str">
        <f>IF(ISBLANK(U28), IncompleteText, OKText)</f>
        <v>BLANK</v>
      </c>
      <c r="X28" s="133" t="s">
        <v>206</v>
      </c>
      <c r="Y28" s="133"/>
      <c r="Z28" s="133"/>
      <c r="AA28" s="134"/>
      <c r="AB28" s="73" t="e">
        <f>VLOOKUP(AB26, InsulationsTable, 5, FALSE)</f>
        <v>#N/A</v>
      </c>
      <c r="AC28" s="55" t="s">
        <v>5</v>
      </c>
      <c r="AD28" s="63" t="str">
        <f>IF(ISERROR(AB28), IncompleteText, IF(AB28 &lt; 90,  ErrorText, OKText))</f>
        <v>BLANK</v>
      </c>
      <c r="AE28" s="43"/>
      <c r="AF28" s="43"/>
      <c r="AG28" s="43"/>
      <c r="AH28" s="43"/>
      <c r="AI28" s="43"/>
      <c r="AJ28" s="43"/>
      <c r="AK28" s="43"/>
      <c r="AM28" s="127"/>
      <c r="AN28" s="127"/>
      <c r="AO28" s="127"/>
      <c r="AP28" s="127"/>
      <c r="AQ28" s="127"/>
      <c r="AR28" s="127"/>
      <c r="AS28" s="127"/>
      <c r="AU28" s="127"/>
      <c r="AV28" s="127"/>
      <c r="AW28" s="127"/>
      <c r="AX28" s="127"/>
      <c r="AY28" s="127"/>
      <c r="AZ28" s="127"/>
      <c r="BA28" s="127"/>
    </row>
    <row r="29" spans="1:53" x14ac:dyDescent="0.25">
      <c r="A29" s="64">
        <v>4</v>
      </c>
      <c r="B29" s="61"/>
      <c r="C29" s="61"/>
      <c r="D29" s="61"/>
      <c r="E29" s="61"/>
      <c r="F29" s="148">
        <f t="shared" si="0"/>
        <v>0</v>
      </c>
      <c r="G29" s="148"/>
      <c r="H29" s="148">
        <f t="shared" si="1"/>
        <v>0</v>
      </c>
      <c r="I29" s="148"/>
      <c r="J29" s="63" t="str">
        <f t="shared" si="2"/>
        <v/>
      </c>
      <c r="K29" s="140" t="s">
        <v>177</v>
      </c>
      <c r="L29" s="140"/>
      <c r="M29" s="140"/>
      <c r="N29" s="141"/>
      <c r="O29" s="137"/>
      <c r="P29" s="138"/>
      <c r="Q29" s="63" t="str">
        <f>IF($O$24="车队自制 Team design", IF(ISBLANK(O29), IncompleteText, OKText), "")</f>
        <v/>
      </c>
      <c r="R29" s="133" t="s">
        <v>199</v>
      </c>
      <c r="S29" s="133"/>
      <c r="T29" s="134"/>
      <c r="U29" s="73" t="e">
        <f>VLOOKUP(U28, ContactorsTable, 2, FALSE)</f>
        <v>#N/A</v>
      </c>
      <c r="V29" s="55" t="s">
        <v>197</v>
      </c>
      <c r="W29" s="63" t="str">
        <f>IF(ISERROR(U29), IncompleteText, IF(U29 &lt; MaxTSVoltage,  ErrorText, OKText))</f>
        <v>BLANK</v>
      </c>
      <c r="X29" s="106" t="s">
        <v>208</v>
      </c>
      <c r="Y29" s="106"/>
      <c r="Z29" s="106"/>
      <c r="AA29" s="109"/>
      <c r="AB29" s="137"/>
      <c r="AC29" s="138"/>
      <c r="AD29" s="63" t="str">
        <f>IF(ISBLANK(AB29), IncompleteText, OKText)</f>
        <v>BLANK</v>
      </c>
      <c r="AE29" s="43"/>
      <c r="AF29" s="43"/>
      <c r="AG29" s="43"/>
      <c r="AH29" s="43"/>
      <c r="AI29" s="43"/>
      <c r="AJ29" s="43"/>
      <c r="AK29" s="43"/>
      <c r="AM29" s="127"/>
      <c r="AN29" s="127"/>
      <c r="AO29" s="127"/>
      <c r="AP29" s="127"/>
      <c r="AQ29" s="127"/>
      <c r="AR29" s="127"/>
      <c r="AS29" s="127"/>
      <c r="AU29" s="127"/>
      <c r="AV29" s="127"/>
      <c r="AW29" s="127"/>
      <c r="AX29" s="127"/>
      <c r="AY29" s="127"/>
      <c r="AZ29" s="127"/>
      <c r="BA29" s="127"/>
    </row>
    <row r="30" spans="1:53" x14ac:dyDescent="0.25">
      <c r="A30" s="64">
        <v>5</v>
      </c>
      <c r="B30" s="61"/>
      <c r="C30" s="61"/>
      <c r="D30" s="61"/>
      <c r="E30" s="61"/>
      <c r="F30" s="148">
        <f t="shared" si="0"/>
        <v>0</v>
      </c>
      <c r="G30" s="148"/>
      <c r="H30" s="148">
        <f t="shared" si="1"/>
        <v>0</v>
      </c>
      <c r="I30" s="148"/>
      <c r="J30" s="63" t="str">
        <f t="shared" si="2"/>
        <v/>
      </c>
      <c r="K30" s="149" t="s">
        <v>178</v>
      </c>
      <c r="L30" s="149"/>
      <c r="M30" s="149"/>
      <c r="N30" s="149"/>
      <c r="O30" s="149"/>
      <c r="P30" s="149"/>
      <c r="Q30" s="50"/>
      <c r="R30" s="133" t="s">
        <v>198</v>
      </c>
      <c r="S30" s="133"/>
      <c r="T30" s="134"/>
      <c r="U30" s="73" t="e">
        <f>VLOOKUP(U28, ContactorsTable, 4, FALSE)</f>
        <v>#N/A</v>
      </c>
      <c r="V30" s="55" t="s">
        <v>2</v>
      </c>
      <c r="W30" s="50"/>
      <c r="X30" s="133" t="s">
        <v>205</v>
      </c>
      <c r="Y30" s="133"/>
      <c r="Z30" s="133"/>
      <c r="AA30" s="134"/>
      <c r="AB30" s="73" t="e">
        <f>VLOOKUP(AB29, InsulationsTable, 4, FALSE)</f>
        <v>#N/A</v>
      </c>
      <c r="AC30" s="55" t="s">
        <v>0</v>
      </c>
      <c r="AD30" s="63" t="str">
        <f>IF(ISERROR(AB30), IncompleteText, IF(AB30 &lt; MaxTSVoltage,  ErrorText, OKText))</f>
        <v>BLANK</v>
      </c>
      <c r="AE30" s="43"/>
      <c r="AF30" s="43"/>
      <c r="AG30" s="43"/>
      <c r="AH30" s="43"/>
      <c r="AI30" s="43"/>
      <c r="AJ30" s="43"/>
      <c r="AK30" s="43"/>
      <c r="AM30" s="127"/>
      <c r="AN30" s="127"/>
      <c r="AO30" s="127"/>
      <c r="AP30" s="127"/>
      <c r="AQ30" s="127"/>
      <c r="AR30" s="127"/>
      <c r="AS30" s="127"/>
      <c r="AU30" s="127"/>
      <c r="AV30" s="127"/>
      <c r="AW30" s="127"/>
      <c r="AX30" s="127"/>
      <c r="AY30" s="127"/>
      <c r="AZ30" s="127"/>
      <c r="BA30" s="127"/>
    </row>
    <row r="31" spans="1:53" x14ac:dyDescent="0.25">
      <c r="A31" s="64">
        <v>6</v>
      </c>
      <c r="B31" s="61"/>
      <c r="C31" s="61"/>
      <c r="D31" s="61"/>
      <c r="E31" s="61"/>
      <c r="F31" s="148">
        <f t="shared" si="0"/>
        <v>0</v>
      </c>
      <c r="G31" s="148"/>
      <c r="H31" s="148">
        <f t="shared" si="1"/>
        <v>0</v>
      </c>
      <c r="I31" s="148"/>
      <c r="J31" s="63" t="str">
        <f t="shared" si="2"/>
        <v/>
      </c>
      <c r="K31" s="140" t="s">
        <v>179</v>
      </c>
      <c r="L31" s="140"/>
      <c r="M31" s="140"/>
      <c r="N31" s="141"/>
      <c r="O31" s="61"/>
      <c r="P31" s="55" t="s">
        <v>12</v>
      </c>
      <c r="Q31" s="63" t="str">
        <f>IF(ISBLANK(O31), IncompleteText, OKText)</f>
        <v>BLANK</v>
      </c>
      <c r="R31" s="133" t="s">
        <v>200</v>
      </c>
      <c r="S31" s="133"/>
      <c r="T31" s="134"/>
      <c r="U31" s="73" t="e">
        <f>VLOOKUP(U28, ContactorsTable, 3, FALSE)</f>
        <v>#N/A</v>
      </c>
      <c r="V31" s="55" t="s">
        <v>2</v>
      </c>
      <c r="W31" s="63" t="str">
        <f>IF(ISERROR(U31), IncompleteText, IF(U31&gt;=U34, OKText, ErrorText))</f>
        <v>BLANK</v>
      </c>
      <c r="X31" s="133" t="s">
        <v>206</v>
      </c>
      <c r="Y31" s="133"/>
      <c r="Z31" s="133"/>
      <c r="AA31" s="134"/>
      <c r="AB31" s="73" t="e">
        <f>VLOOKUP(AB29, InsulationsTable, 5, FALSE)</f>
        <v>#N/A</v>
      </c>
      <c r="AC31" s="55" t="s">
        <v>5</v>
      </c>
      <c r="AD31" s="63" t="str">
        <f>IF(ISERROR(AB31), IncompleteText, IF(AB31 &lt; 90,  ErrorText, OKText))</f>
        <v>BLANK</v>
      </c>
      <c r="AE31" s="43"/>
      <c r="AF31" s="43"/>
      <c r="AG31" s="43"/>
      <c r="AH31" s="43"/>
      <c r="AI31" s="43"/>
      <c r="AJ31" s="43"/>
      <c r="AK31" s="43"/>
      <c r="AM31" s="127"/>
      <c r="AN31" s="127"/>
      <c r="AO31" s="127"/>
      <c r="AP31" s="127"/>
      <c r="AQ31" s="127"/>
      <c r="AR31" s="127"/>
      <c r="AS31" s="127"/>
      <c r="AU31" s="127"/>
      <c r="AV31" s="127"/>
      <c r="AW31" s="127"/>
      <c r="AX31" s="127"/>
      <c r="AY31" s="127"/>
      <c r="AZ31" s="127"/>
      <c r="BA31" s="127"/>
    </row>
    <row r="32" spans="1:53" x14ac:dyDescent="0.25">
      <c r="A32" s="64">
        <v>7</v>
      </c>
      <c r="B32" s="61"/>
      <c r="C32" s="61"/>
      <c r="D32" s="61"/>
      <c r="E32" s="61"/>
      <c r="F32" s="148">
        <f t="shared" si="0"/>
        <v>0</v>
      </c>
      <c r="G32" s="148"/>
      <c r="H32" s="148">
        <f t="shared" si="1"/>
        <v>0</v>
      </c>
      <c r="I32" s="148"/>
      <c r="J32" s="63" t="str">
        <f t="shared" si="2"/>
        <v/>
      </c>
      <c r="K32" s="150" t="s">
        <v>180</v>
      </c>
      <c r="L32" s="150"/>
      <c r="M32" s="150"/>
      <c r="N32" s="151"/>
      <c r="O32" s="108"/>
      <c r="P32" s="108"/>
      <c r="Q32" s="63" t="str">
        <f>IF(ISBLANK(O32), IncompleteText, OKText)</f>
        <v>BLANK</v>
      </c>
      <c r="R32" s="139" t="s">
        <v>201</v>
      </c>
      <c r="S32" s="83"/>
      <c r="T32" s="83"/>
      <c r="U32" s="83"/>
      <c r="V32" s="83"/>
      <c r="W32" s="50"/>
      <c r="X32" s="133" t="s">
        <v>209</v>
      </c>
      <c r="Y32" s="133"/>
      <c r="Z32" s="133"/>
      <c r="AA32" s="134"/>
      <c r="AB32" s="73" t="e">
        <f>VLOOKUP(AB29, InsulationsTable, 6, FALSE)</f>
        <v>#N/A</v>
      </c>
      <c r="AC32" s="55"/>
      <c r="AD32" s="63" t="str">
        <f>IF(ISNA(AB32), IncompleteText, OKText)</f>
        <v>BLANK</v>
      </c>
      <c r="AE32" s="43"/>
      <c r="AF32" s="43"/>
      <c r="AG32" s="43"/>
      <c r="AH32" s="43"/>
      <c r="AI32" s="43"/>
      <c r="AJ32" s="43"/>
      <c r="AK32" s="43"/>
      <c r="AM32" s="127"/>
      <c r="AN32" s="127"/>
      <c r="AO32" s="127"/>
      <c r="AP32" s="127"/>
      <c r="AQ32" s="127"/>
      <c r="AR32" s="127"/>
      <c r="AS32" s="127"/>
      <c r="AU32" s="127"/>
      <c r="AV32" s="127"/>
      <c r="AW32" s="127"/>
      <c r="AX32" s="127"/>
      <c r="AY32" s="127"/>
      <c r="AZ32" s="127"/>
      <c r="BA32" s="127"/>
    </row>
    <row r="33" spans="1:53" x14ac:dyDescent="0.25">
      <c r="A33" s="64">
        <v>8</v>
      </c>
      <c r="B33" s="61"/>
      <c r="C33" s="61"/>
      <c r="D33" s="61"/>
      <c r="E33" s="61"/>
      <c r="F33" s="148">
        <f t="shared" si="0"/>
        <v>0</v>
      </c>
      <c r="G33" s="148"/>
      <c r="H33" s="148">
        <f t="shared" si="1"/>
        <v>0</v>
      </c>
      <c r="I33" s="148"/>
      <c r="J33" s="63" t="str">
        <f t="shared" si="2"/>
        <v/>
      </c>
      <c r="K33" s="140" t="s">
        <v>181</v>
      </c>
      <c r="L33" s="140"/>
      <c r="M33" s="140"/>
      <c r="N33" s="141"/>
      <c r="O33" s="108"/>
      <c r="P33" s="108"/>
      <c r="Q33" s="63" t="str">
        <f>IF(ISBLANK(O33), IncompleteText, OKText)</f>
        <v>BLANK</v>
      </c>
      <c r="R33" s="161" t="s">
        <v>201</v>
      </c>
      <c r="S33" s="161"/>
      <c r="T33" s="162"/>
      <c r="U33" s="135"/>
      <c r="V33" s="136"/>
      <c r="W33" s="63" t="str">
        <f>IF(ISBLANK(U33), IncompleteText, OKText)</f>
        <v>BLANK</v>
      </c>
      <c r="AE33" s="43"/>
      <c r="AF33" s="43"/>
      <c r="AG33" s="43"/>
      <c r="AH33" s="43"/>
      <c r="AI33" s="43"/>
      <c r="AJ33" s="43"/>
      <c r="AK33" s="43"/>
      <c r="AM33" s="127"/>
      <c r="AN33" s="127"/>
      <c r="AO33" s="127"/>
      <c r="AP33" s="127"/>
      <c r="AQ33" s="127"/>
      <c r="AR33" s="127"/>
      <c r="AS33" s="127"/>
      <c r="AU33" s="127"/>
      <c r="AV33" s="127"/>
      <c r="AW33" s="127"/>
      <c r="AX33" s="127"/>
      <c r="AY33" s="127"/>
      <c r="AZ33" s="127"/>
      <c r="BA33" s="127"/>
    </row>
    <row r="34" spans="1:53" x14ac:dyDescent="0.25">
      <c r="A34" s="64">
        <v>9</v>
      </c>
      <c r="B34" s="61"/>
      <c r="C34" s="61"/>
      <c r="D34" s="61"/>
      <c r="E34" s="61"/>
      <c r="F34" s="148">
        <f t="shared" si="0"/>
        <v>0</v>
      </c>
      <c r="G34" s="148"/>
      <c r="H34" s="148">
        <f t="shared" si="1"/>
        <v>0</v>
      </c>
      <c r="I34" s="148"/>
      <c r="J34" s="63" t="str">
        <f t="shared" si="2"/>
        <v/>
      </c>
      <c r="K34" s="164" t="s">
        <v>17</v>
      </c>
      <c r="L34" s="165"/>
      <c r="M34" s="165"/>
      <c r="N34" s="166"/>
      <c r="O34" s="95"/>
      <c r="P34" s="95"/>
      <c r="Q34" s="63" t="str">
        <f>IF(O33="其他 Other", IF(ISBLANK(O34), IncompleteText, OKText), "")</f>
        <v/>
      </c>
      <c r="R34" s="133" t="s">
        <v>202</v>
      </c>
      <c r="S34" s="133"/>
      <c r="T34" s="134"/>
      <c r="U34" s="73" t="e">
        <f>VLOOKUP(U33, FuseTable,3, FALSE)</f>
        <v>#N/A</v>
      </c>
      <c r="V34" s="55" t="s">
        <v>2</v>
      </c>
      <c r="W34" s="50"/>
      <c r="AE34" s="43"/>
      <c r="AF34" s="43"/>
      <c r="AG34" s="43"/>
      <c r="AH34" s="43"/>
      <c r="AI34" s="43"/>
      <c r="AJ34" s="43"/>
      <c r="AK34" s="43"/>
      <c r="AM34" s="127"/>
      <c r="AN34" s="127"/>
      <c r="AO34" s="127"/>
      <c r="AP34" s="127"/>
      <c r="AQ34" s="127"/>
      <c r="AR34" s="127"/>
      <c r="AS34" s="127"/>
      <c r="AU34" s="127"/>
      <c r="AV34" s="127"/>
      <c r="AW34" s="127"/>
      <c r="AX34" s="127"/>
      <c r="AY34" s="127"/>
      <c r="AZ34" s="127"/>
      <c r="BA34" s="127"/>
    </row>
    <row r="35" spans="1:53" x14ac:dyDescent="0.25">
      <c r="A35" s="64">
        <v>10</v>
      </c>
      <c r="B35" s="61"/>
      <c r="C35" s="61"/>
      <c r="D35" s="61"/>
      <c r="E35" s="61"/>
      <c r="F35" s="148">
        <f t="shared" si="0"/>
        <v>0</v>
      </c>
      <c r="G35" s="148"/>
      <c r="H35" s="148">
        <f t="shared" si="1"/>
        <v>0</v>
      </c>
      <c r="I35" s="148"/>
      <c r="J35" s="63" t="str">
        <f t="shared" si="2"/>
        <v/>
      </c>
      <c r="K35" s="133" t="s">
        <v>182</v>
      </c>
      <c r="L35" s="133"/>
      <c r="M35" s="133"/>
      <c r="N35" s="134"/>
      <c r="O35" s="167" t="e">
        <f>VLOOKUP(O32, FuseTable,2, FALSE)</f>
        <v>#N/A</v>
      </c>
      <c r="P35" s="167"/>
      <c r="Q35" s="63" t="str">
        <f>IF(ISERROR(O35), IncompleteText, IF(AND(O35 &lt; MAX(F26:G43), O23 = "集中式 Centralized"),  ErrorText, OKText))</f>
        <v>BLANK</v>
      </c>
      <c r="R35" s="133" t="s">
        <v>203</v>
      </c>
      <c r="S35" s="133"/>
      <c r="T35" s="134"/>
      <c r="U35" s="73" t="e">
        <f>VLOOKUP(U33, FuseTable, 2, FALSE)</f>
        <v>#N/A</v>
      </c>
      <c r="V35" s="55" t="s">
        <v>0</v>
      </c>
      <c r="W35" s="63" t="e">
        <f>IF(U35 &lt; MaxTSVoltage, ErrorText, OKText)</f>
        <v>#N/A</v>
      </c>
      <c r="AE35" s="43"/>
      <c r="AF35" s="43"/>
      <c r="AG35" s="43"/>
      <c r="AH35" s="43"/>
      <c r="AI35" s="43"/>
      <c r="AJ35" s="43"/>
      <c r="AK35" s="43"/>
      <c r="AM35" s="127"/>
      <c r="AN35" s="127"/>
      <c r="AO35" s="127"/>
      <c r="AP35" s="127"/>
      <c r="AQ35" s="127"/>
      <c r="AR35" s="127"/>
      <c r="AS35" s="127"/>
      <c r="AU35" s="127"/>
      <c r="AV35" s="127"/>
      <c r="AW35" s="127"/>
      <c r="AX35" s="127"/>
      <c r="AY35" s="127"/>
      <c r="AZ35" s="127"/>
      <c r="BA35" s="127"/>
    </row>
    <row r="36" spans="1:53" x14ac:dyDescent="0.25">
      <c r="A36" s="64">
        <v>11</v>
      </c>
      <c r="B36" s="61"/>
      <c r="C36" s="61"/>
      <c r="D36" s="61"/>
      <c r="E36" s="61"/>
      <c r="F36" s="148">
        <f t="shared" si="0"/>
        <v>0</v>
      </c>
      <c r="G36" s="148"/>
      <c r="H36" s="148">
        <f t="shared" si="1"/>
        <v>0</v>
      </c>
      <c r="I36" s="148"/>
      <c r="J36" s="63" t="str">
        <f t="shared" si="2"/>
        <v/>
      </c>
      <c r="K36" s="149" t="s">
        <v>18</v>
      </c>
      <c r="L36" s="149"/>
      <c r="M36" s="149"/>
      <c r="N36" s="149"/>
      <c r="O36" s="149"/>
      <c r="P36" s="149"/>
      <c r="Q36" s="50"/>
      <c r="AE36" s="43"/>
      <c r="AF36" s="43"/>
      <c r="AG36" s="43"/>
      <c r="AH36" s="43"/>
      <c r="AI36" s="43"/>
      <c r="AJ36" s="43"/>
      <c r="AK36" s="43"/>
      <c r="AM36" s="127"/>
      <c r="AN36" s="127"/>
      <c r="AO36" s="127"/>
      <c r="AP36" s="127"/>
      <c r="AQ36" s="127"/>
      <c r="AR36" s="127"/>
      <c r="AS36" s="127"/>
      <c r="AU36" s="127"/>
      <c r="AV36" s="127"/>
      <c r="AW36" s="127"/>
      <c r="AX36" s="127"/>
      <c r="AY36" s="127"/>
      <c r="AZ36" s="127"/>
      <c r="BA36" s="127"/>
    </row>
    <row r="37" spans="1:53" x14ac:dyDescent="0.25">
      <c r="A37" s="64">
        <v>12</v>
      </c>
      <c r="B37" s="61"/>
      <c r="C37" s="61"/>
      <c r="D37" s="61"/>
      <c r="E37" s="61"/>
      <c r="F37" s="148">
        <f t="shared" si="0"/>
        <v>0</v>
      </c>
      <c r="G37" s="148"/>
      <c r="H37" s="148">
        <f t="shared" si="1"/>
        <v>0</v>
      </c>
      <c r="I37" s="148"/>
      <c r="J37" s="63" t="str">
        <f t="shared" si="2"/>
        <v/>
      </c>
      <c r="K37" s="133" t="s">
        <v>183</v>
      </c>
      <c r="L37" s="133"/>
      <c r="M37" s="133"/>
      <c r="N37" s="134"/>
      <c r="O37" s="135"/>
      <c r="P37" s="136"/>
      <c r="Q37" s="63" t="str">
        <f>IF(ISBLANK(O37), IncompleteText, OKText)</f>
        <v>BLANK</v>
      </c>
      <c r="AE37" s="43"/>
      <c r="AF37" s="43"/>
      <c r="AG37" s="43"/>
      <c r="AH37" s="43"/>
      <c r="AI37" s="43"/>
      <c r="AJ37" s="43"/>
      <c r="AK37" s="43"/>
      <c r="AM37" s="127"/>
      <c r="AN37" s="127"/>
      <c r="AO37" s="127"/>
      <c r="AP37" s="127"/>
      <c r="AQ37" s="127"/>
      <c r="AR37" s="127"/>
      <c r="AS37" s="127"/>
      <c r="AU37" s="127"/>
      <c r="AV37" s="127"/>
      <c r="AW37" s="127"/>
      <c r="AX37" s="127"/>
      <c r="AY37" s="127"/>
      <c r="AZ37" s="127"/>
      <c r="BA37" s="127"/>
    </row>
    <row r="38" spans="1:53" x14ac:dyDescent="0.25">
      <c r="A38" s="64">
        <v>13</v>
      </c>
      <c r="B38" s="61"/>
      <c r="C38" s="61"/>
      <c r="D38" s="61"/>
      <c r="E38" s="61"/>
      <c r="F38" s="148">
        <f t="shared" si="0"/>
        <v>0</v>
      </c>
      <c r="G38" s="148"/>
      <c r="H38" s="148">
        <f t="shared" si="1"/>
        <v>0</v>
      </c>
      <c r="I38" s="148"/>
      <c r="J38" s="63" t="str">
        <f t="shared" si="2"/>
        <v/>
      </c>
      <c r="K38" s="133" t="s">
        <v>184</v>
      </c>
      <c r="L38" s="133"/>
      <c r="M38" s="133"/>
      <c r="N38" s="134"/>
      <c r="O38" s="61"/>
      <c r="P38" s="55" t="s">
        <v>13</v>
      </c>
      <c r="Q38" s="63" t="str">
        <f>IF(O37="极耳 Cell tabs","",IF(ISBLANK(O38),IncompleteText,IF(O38&lt;10,OKText,ErrorText)))</f>
        <v>BLANK</v>
      </c>
      <c r="AE38" s="43"/>
      <c r="AF38" s="43"/>
      <c r="AG38" s="43"/>
      <c r="AH38" s="43"/>
      <c r="AI38" s="43"/>
      <c r="AJ38" s="43"/>
      <c r="AK38" s="43"/>
      <c r="AM38" s="127"/>
      <c r="AN38" s="127"/>
      <c r="AO38" s="127"/>
      <c r="AP38" s="127"/>
      <c r="AQ38" s="127"/>
      <c r="AR38" s="127"/>
      <c r="AS38" s="127"/>
      <c r="AU38" s="127"/>
      <c r="AV38" s="127"/>
      <c r="AW38" s="127"/>
      <c r="AX38" s="127"/>
      <c r="AY38" s="127"/>
      <c r="AZ38" s="127"/>
      <c r="BA38" s="127"/>
    </row>
    <row r="39" spans="1:53" x14ac:dyDescent="0.25">
      <c r="A39" s="64">
        <v>14</v>
      </c>
      <c r="B39" s="61"/>
      <c r="C39" s="61"/>
      <c r="D39" s="61"/>
      <c r="E39" s="61"/>
      <c r="F39" s="148">
        <f t="shared" si="0"/>
        <v>0</v>
      </c>
      <c r="G39" s="148"/>
      <c r="H39" s="148">
        <f t="shared" si="1"/>
        <v>0</v>
      </c>
      <c r="I39" s="148"/>
      <c r="J39" s="63" t="str">
        <f t="shared" si="2"/>
        <v/>
      </c>
      <c r="K39" s="133" t="s">
        <v>185</v>
      </c>
      <c r="L39" s="133"/>
      <c r="M39" s="133"/>
      <c r="N39" s="134"/>
      <c r="O39" s="61"/>
      <c r="P39" s="55" t="s">
        <v>14</v>
      </c>
      <c r="Q39" s="63" t="str">
        <f>IF(ISBLANK(O39), IncompleteText, OKText)</f>
        <v>BLANK</v>
      </c>
      <c r="AE39" s="43"/>
      <c r="AF39" s="43"/>
      <c r="AG39" s="43"/>
      <c r="AH39" s="43"/>
      <c r="AI39" s="43"/>
      <c r="AJ39" s="43"/>
      <c r="AK39" s="43"/>
      <c r="AM39" s="127"/>
      <c r="AN39" s="127"/>
      <c r="AO39" s="127"/>
      <c r="AP39" s="127"/>
      <c r="AQ39" s="127"/>
      <c r="AR39" s="127"/>
      <c r="AS39" s="127"/>
      <c r="AU39" s="127"/>
      <c r="AV39" s="127"/>
      <c r="AW39" s="127"/>
      <c r="AX39" s="127"/>
      <c r="AY39" s="127"/>
      <c r="AZ39" s="127"/>
      <c r="BA39" s="127"/>
    </row>
    <row r="40" spans="1:53" x14ac:dyDescent="0.25">
      <c r="A40" s="64">
        <v>15</v>
      </c>
      <c r="B40" s="61"/>
      <c r="C40" s="61"/>
      <c r="D40" s="61"/>
      <c r="E40" s="61"/>
      <c r="F40" s="148">
        <f t="shared" si="0"/>
        <v>0</v>
      </c>
      <c r="G40" s="148"/>
      <c r="H40" s="148">
        <f t="shared" si="1"/>
        <v>0</v>
      </c>
      <c r="I40" s="148"/>
      <c r="J40" s="63" t="str">
        <f t="shared" si="2"/>
        <v/>
      </c>
      <c r="K40" s="133" t="s">
        <v>186</v>
      </c>
      <c r="L40" s="133"/>
      <c r="M40" s="133"/>
      <c r="N40" s="134"/>
      <c r="O40" s="135"/>
      <c r="P40" s="136"/>
      <c r="Q40" s="50"/>
      <c r="AE40" s="43"/>
      <c r="AF40" s="43"/>
      <c r="AG40" s="43"/>
      <c r="AH40" s="43"/>
      <c r="AI40" s="43"/>
      <c r="AJ40" s="43"/>
      <c r="AK40" s="43"/>
      <c r="AM40" s="127"/>
      <c r="AN40" s="127"/>
      <c r="AO40" s="127"/>
      <c r="AP40" s="127"/>
      <c r="AQ40" s="127"/>
      <c r="AR40" s="127"/>
      <c r="AS40" s="127"/>
      <c r="AU40" s="127"/>
      <c r="AV40" s="127"/>
      <c r="AW40" s="127"/>
      <c r="AX40" s="127"/>
      <c r="AY40" s="127"/>
      <c r="AZ40" s="127"/>
      <c r="BA40" s="127"/>
    </row>
    <row r="41" spans="1:53" x14ac:dyDescent="0.25">
      <c r="A41" s="64">
        <v>16</v>
      </c>
      <c r="B41" s="61"/>
      <c r="C41" s="61"/>
      <c r="D41" s="61"/>
      <c r="E41" s="61"/>
      <c r="F41" s="148">
        <f t="shared" si="0"/>
        <v>0</v>
      </c>
      <c r="G41" s="148"/>
      <c r="H41" s="148">
        <f t="shared" si="1"/>
        <v>0</v>
      </c>
      <c r="I41" s="148"/>
      <c r="J41" s="63" t="str">
        <f t="shared" si="2"/>
        <v/>
      </c>
      <c r="K41" s="133" t="s">
        <v>187</v>
      </c>
      <c r="L41" s="133"/>
      <c r="M41" s="133"/>
      <c r="N41" s="134"/>
      <c r="O41" s="135"/>
      <c r="P41" s="136"/>
      <c r="Q41" s="63" t="str">
        <f>IF(ISBLANK($O$40), "", IF(ISBLANK(O41), IncompleteText, OKText))</f>
        <v/>
      </c>
      <c r="AM41" s="127"/>
      <c r="AN41" s="127"/>
      <c r="AO41" s="127"/>
      <c r="AP41" s="127"/>
      <c r="AQ41" s="127"/>
      <c r="AR41" s="127"/>
      <c r="AS41" s="127"/>
      <c r="AU41" s="127"/>
      <c r="AV41" s="127"/>
      <c r="AW41" s="127"/>
      <c r="AX41" s="127"/>
      <c r="AY41" s="127"/>
      <c r="AZ41" s="127"/>
      <c r="BA41" s="127"/>
    </row>
    <row r="42" spans="1:53" x14ac:dyDescent="0.25">
      <c r="A42" s="64">
        <v>17</v>
      </c>
      <c r="B42" s="61"/>
      <c r="C42" s="61"/>
      <c r="D42" s="61"/>
      <c r="E42" s="61"/>
      <c r="F42" s="148">
        <f t="shared" si="0"/>
        <v>0</v>
      </c>
      <c r="G42" s="148"/>
      <c r="H42" s="148">
        <f t="shared" si="1"/>
        <v>0</v>
      </c>
      <c r="I42" s="148"/>
      <c r="J42" s="63" t="str">
        <f t="shared" si="2"/>
        <v/>
      </c>
      <c r="K42" s="133" t="s">
        <v>188</v>
      </c>
      <c r="L42" s="133"/>
      <c r="M42" s="133"/>
      <c r="N42" s="134"/>
      <c r="O42" s="61"/>
      <c r="P42" s="55" t="s">
        <v>16</v>
      </c>
      <c r="Q42" s="63" t="str">
        <f>IF(ISBLANK($O$40), "", IF(ISBLANK(O42), IncompleteText, OKText))</f>
        <v/>
      </c>
      <c r="AM42" s="127"/>
      <c r="AN42" s="127"/>
      <c r="AO42" s="127"/>
      <c r="AP42" s="127"/>
      <c r="AQ42" s="127"/>
      <c r="AR42" s="127"/>
      <c r="AS42" s="127"/>
      <c r="AU42" s="127"/>
      <c r="AV42" s="127"/>
      <c r="AW42" s="127"/>
      <c r="AX42" s="127"/>
      <c r="AY42" s="127"/>
      <c r="AZ42" s="127"/>
      <c r="BA42" s="127"/>
    </row>
    <row r="43" spans="1:53" x14ac:dyDescent="0.25">
      <c r="A43" s="64">
        <v>18</v>
      </c>
      <c r="B43" s="61"/>
      <c r="C43" s="61"/>
      <c r="D43" s="61"/>
      <c r="E43" s="61"/>
      <c r="F43" s="148">
        <f t="shared" si="0"/>
        <v>0</v>
      </c>
      <c r="G43" s="148"/>
      <c r="H43" s="148">
        <f t="shared" si="1"/>
        <v>0</v>
      </c>
      <c r="I43" s="148"/>
      <c r="J43" s="63" t="str">
        <f t="shared" si="2"/>
        <v/>
      </c>
      <c r="K43" s="133" t="s">
        <v>189</v>
      </c>
      <c r="L43" s="133"/>
      <c r="M43" s="133"/>
      <c r="N43" s="134"/>
      <c r="O43" s="61"/>
      <c r="P43" s="55" t="s">
        <v>13</v>
      </c>
      <c r="Q43" s="63" t="str">
        <f>IF(ISBLANK($O$40), "", IF(ISBLANK(O43), IncompleteText, OKText))</f>
        <v/>
      </c>
      <c r="AM43" s="127"/>
      <c r="AN43" s="127"/>
      <c r="AO43" s="127"/>
      <c r="AP43" s="127"/>
      <c r="AQ43" s="127"/>
      <c r="AR43" s="127"/>
      <c r="AS43" s="127"/>
      <c r="AU43" s="127"/>
      <c r="AV43" s="127"/>
      <c r="AW43" s="127"/>
      <c r="AX43" s="127"/>
      <c r="AY43" s="127"/>
      <c r="AZ43" s="127"/>
      <c r="BA43" s="127"/>
    </row>
    <row r="44" spans="1:53" x14ac:dyDescent="0.25">
      <c r="K44" s="133" t="s">
        <v>190</v>
      </c>
      <c r="L44" s="133"/>
      <c r="M44" s="133"/>
      <c r="N44" s="134"/>
      <c r="O44" s="73" t="e">
        <f>SUMIF(J26:J43, "=OK", D26:D43)*CellsPerTempSensor_BK/TotalCells_BK*100</f>
        <v>#DIV/0!</v>
      </c>
      <c r="P44" s="55" t="s">
        <v>15</v>
      </c>
      <c r="Q44" s="63" t="str">
        <f>IF(ISERROR(O44),IncompleteText,IF(O44&lt;20,ErrorText,OKText))</f>
        <v>BLANK</v>
      </c>
    </row>
    <row r="47" spans="1:53" ht="13.95" customHeight="1" x14ac:dyDescent="0.25">
      <c r="A47" s="115" t="s">
        <v>211</v>
      </c>
      <c r="B47" s="115"/>
      <c r="C47" s="115"/>
      <c r="D47" s="115"/>
      <c r="E47" s="115"/>
      <c r="F47" s="115"/>
      <c r="G47" s="115"/>
      <c r="H47" s="115"/>
      <c r="J47" s="127" t="s">
        <v>218</v>
      </c>
      <c r="K47" s="115"/>
      <c r="L47" s="115"/>
      <c r="M47" s="115"/>
      <c r="N47" s="115"/>
      <c r="O47" s="115"/>
      <c r="P47" s="115"/>
      <c r="Q47" s="115"/>
      <c r="S47" s="115" t="s">
        <v>233</v>
      </c>
      <c r="T47" s="115"/>
      <c r="U47" s="115"/>
      <c r="V47" s="115"/>
      <c r="W47" s="115"/>
      <c r="X47" s="115"/>
      <c r="Y47" s="115"/>
      <c r="Z47" s="115"/>
      <c r="AB47" s="168" t="s">
        <v>235</v>
      </c>
      <c r="AC47" s="169"/>
      <c r="AD47" s="169"/>
      <c r="AE47" s="169"/>
      <c r="AF47" s="169"/>
      <c r="AG47" s="169"/>
      <c r="AH47" s="169"/>
      <c r="AI47" s="170"/>
      <c r="AK47" s="177" t="s">
        <v>237</v>
      </c>
      <c r="AL47" s="178"/>
      <c r="AM47" s="178"/>
      <c r="AN47" s="178"/>
      <c r="AO47" s="178"/>
      <c r="AP47" s="178"/>
      <c r="AQ47" s="178"/>
      <c r="AR47" s="179"/>
      <c r="AT47" s="115" t="s">
        <v>240</v>
      </c>
      <c r="AU47" s="115"/>
      <c r="AV47" s="115"/>
      <c r="AW47" s="115"/>
      <c r="AX47" s="115"/>
      <c r="AY47" s="115"/>
      <c r="AZ47" s="115"/>
      <c r="BA47" s="115"/>
    </row>
    <row r="48" spans="1:53" x14ac:dyDescent="0.25">
      <c r="A48" s="115"/>
      <c r="B48" s="115"/>
      <c r="C48" s="115"/>
      <c r="D48" s="115"/>
      <c r="E48" s="115"/>
      <c r="F48" s="115"/>
      <c r="G48" s="115"/>
      <c r="H48" s="115"/>
      <c r="J48" s="115"/>
      <c r="K48" s="115"/>
      <c r="L48" s="115"/>
      <c r="M48" s="115"/>
      <c r="N48" s="115"/>
      <c r="O48" s="115"/>
      <c r="P48" s="115"/>
      <c r="Q48" s="115"/>
      <c r="S48" s="115"/>
      <c r="T48" s="115"/>
      <c r="U48" s="115"/>
      <c r="V48" s="115"/>
      <c r="W48" s="115"/>
      <c r="X48" s="115"/>
      <c r="Y48" s="115"/>
      <c r="Z48" s="115"/>
      <c r="AB48" s="171"/>
      <c r="AC48" s="172"/>
      <c r="AD48" s="172"/>
      <c r="AE48" s="172"/>
      <c r="AF48" s="172"/>
      <c r="AG48" s="172"/>
      <c r="AH48" s="172"/>
      <c r="AI48" s="173"/>
      <c r="AK48" s="180"/>
      <c r="AL48" s="181"/>
      <c r="AM48" s="181"/>
      <c r="AN48" s="181"/>
      <c r="AO48" s="181"/>
      <c r="AP48" s="181"/>
      <c r="AQ48" s="181"/>
      <c r="AR48" s="182"/>
      <c r="AT48" s="115"/>
      <c r="AU48" s="115"/>
      <c r="AV48" s="115"/>
      <c r="AW48" s="115"/>
      <c r="AX48" s="115"/>
      <c r="AY48" s="115"/>
      <c r="AZ48" s="115"/>
      <c r="BA48" s="115"/>
    </row>
    <row r="49" spans="1:53" x14ac:dyDescent="0.25">
      <c r="A49" s="115"/>
      <c r="B49" s="115"/>
      <c r="C49" s="115"/>
      <c r="D49" s="115"/>
      <c r="E49" s="115"/>
      <c r="F49" s="115"/>
      <c r="G49" s="115"/>
      <c r="H49" s="115"/>
      <c r="J49" s="115"/>
      <c r="K49" s="115"/>
      <c r="L49" s="115"/>
      <c r="M49" s="115"/>
      <c r="N49" s="115"/>
      <c r="O49" s="115"/>
      <c r="P49" s="115"/>
      <c r="Q49" s="115"/>
      <c r="S49" s="115"/>
      <c r="T49" s="115"/>
      <c r="U49" s="115"/>
      <c r="V49" s="115"/>
      <c r="W49" s="115"/>
      <c r="X49" s="115"/>
      <c r="Y49" s="115"/>
      <c r="Z49" s="115"/>
      <c r="AB49" s="171"/>
      <c r="AC49" s="172"/>
      <c r="AD49" s="172"/>
      <c r="AE49" s="172"/>
      <c r="AF49" s="172"/>
      <c r="AG49" s="172"/>
      <c r="AH49" s="172"/>
      <c r="AI49" s="173"/>
      <c r="AK49" s="180"/>
      <c r="AL49" s="181"/>
      <c r="AM49" s="181"/>
      <c r="AN49" s="181"/>
      <c r="AO49" s="181"/>
      <c r="AP49" s="181"/>
      <c r="AQ49" s="181"/>
      <c r="AR49" s="182"/>
      <c r="AT49" s="115"/>
      <c r="AU49" s="115"/>
      <c r="AV49" s="115"/>
      <c r="AW49" s="115"/>
      <c r="AX49" s="115"/>
      <c r="AY49" s="115"/>
      <c r="AZ49" s="115"/>
      <c r="BA49" s="115"/>
    </row>
    <row r="50" spans="1:53" x14ac:dyDescent="0.25">
      <c r="A50" s="115"/>
      <c r="B50" s="115"/>
      <c r="C50" s="115"/>
      <c r="D50" s="115"/>
      <c r="E50" s="115"/>
      <c r="F50" s="115"/>
      <c r="G50" s="115"/>
      <c r="H50" s="115"/>
      <c r="J50" s="115"/>
      <c r="K50" s="115"/>
      <c r="L50" s="115"/>
      <c r="M50" s="115"/>
      <c r="N50" s="115"/>
      <c r="O50" s="115"/>
      <c r="P50" s="115"/>
      <c r="Q50" s="115"/>
      <c r="S50" s="115"/>
      <c r="T50" s="115"/>
      <c r="U50" s="115"/>
      <c r="V50" s="115"/>
      <c r="W50" s="115"/>
      <c r="X50" s="115"/>
      <c r="Y50" s="115"/>
      <c r="Z50" s="115"/>
      <c r="AB50" s="171"/>
      <c r="AC50" s="172"/>
      <c r="AD50" s="172"/>
      <c r="AE50" s="172"/>
      <c r="AF50" s="172"/>
      <c r="AG50" s="172"/>
      <c r="AH50" s="172"/>
      <c r="AI50" s="173"/>
      <c r="AK50" s="180"/>
      <c r="AL50" s="181"/>
      <c r="AM50" s="181"/>
      <c r="AN50" s="181"/>
      <c r="AO50" s="181"/>
      <c r="AP50" s="181"/>
      <c r="AQ50" s="181"/>
      <c r="AR50" s="182"/>
      <c r="AT50" s="115"/>
      <c r="AU50" s="115"/>
      <c r="AV50" s="115"/>
      <c r="AW50" s="115"/>
      <c r="AX50" s="115"/>
      <c r="AY50" s="115"/>
      <c r="AZ50" s="115"/>
      <c r="BA50" s="115"/>
    </row>
    <row r="51" spans="1:53" x14ac:dyDescent="0.25">
      <c r="A51" s="115"/>
      <c r="B51" s="115"/>
      <c r="C51" s="115"/>
      <c r="D51" s="115"/>
      <c r="E51" s="115"/>
      <c r="F51" s="115"/>
      <c r="G51" s="115"/>
      <c r="H51" s="115"/>
      <c r="J51" s="115"/>
      <c r="K51" s="115"/>
      <c r="L51" s="115"/>
      <c r="M51" s="115"/>
      <c r="N51" s="115"/>
      <c r="O51" s="115"/>
      <c r="P51" s="115"/>
      <c r="Q51" s="115"/>
      <c r="S51" s="115"/>
      <c r="T51" s="115"/>
      <c r="U51" s="115"/>
      <c r="V51" s="115"/>
      <c r="W51" s="115"/>
      <c r="X51" s="115"/>
      <c r="Y51" s="115"/>
      <c r="Z51" s="115"/>
      <c r="AB51" s="171"/>
      <c r="AC51" s="172"/>
      <c r="AD51" s="172"/>
      <c r="AE51" s="172"/>
      <c r="AF51" s="172"/>
      <c r="AG51" s="172"/>
      <c r="AH51" s="172"/>
      <c r="AI51" s="173"/>
      <c r="AK51" s="180"/>
      <c r="AL51" s="181"/>
      <c r="AM51" s="181"/>
      <c r="AN51" s="181"/>
      <c r="AO51" s="181"/>
      <c r="AP51" s="181"/>
      <c r="AQ51" s="181"/>
      <c r="AR51" s="182"/>
      <c r="AT51" s="115"/>
      <c r="AU51" s="115"/>
      <c r="AV51" s="115"/>
      <c r="AW51" s="115"/>
      <c r="AX51" s="115"/>
      <c r="AY51" s="115"/>
      <c r="AZ51" s="115"/>
      <c r="BA51" s="115"/>
    </row>
    <row r="52" spans="1:53" x14ac:dyDescent="0.25">
      <c r="A52" s="115"/>
      <c r="B52" s="115"/>
      <c r="C52" s="115"/>
      <c r="D52" s="115"/>
      <c r="E52" s="115"/>
      <c r="F52" s="115"/>
      <c r="G52" s="115"/>
      <c r="H52" s="115"/>
      <c r="J52" s="115"/>
      <c r="K52" s="115"/>
      <c r="L52" s="115"/>
      <c r="M52" s="115"/>
      <c r="N52" s="115"/>
      <c r="O52" s="115"/>
      <c r="P52" s="115"/>
      <c r="Q52" s="115"/>
      <c r="S52" s="115"/>
      <c r="T52" s="115"/>
      <c r="U52" s="115"/>
      <c r="V52" s="115"/>
      <c r="W52" s="115"/>
      <c r="X52" s="115"/>
      <c r="Y52" s="115"/>
      <c r="Z52" s="115"/>
      <c r="AB52" s="171"/>
      <c r="AC52" s="172"/>
      <c r="AD52" s="172"/>
      <c r="AE52" s="172"/>
      <c r="AF52" s="172"/>
      <c r="AG52" s="172"/>
      <c r="AH52" s="172"/>
      <c r="AI52" s="173"/>
      <c r="AK52" s="180"/>
      <c r="AL52" s="181"/>
      <c r="AM52" s="181"/>
      <c r="AN52" s="181"/>
      <c r="AO52" s="181"/>
      <c r="AP52" s="181"/>
      <c r="AQ52" s="181"/>
      <c r="AR52" s="182"/>
      <c r="AT52" s="115"/>
      <c r="AU52" s="115"/>
      <c r="AV52" s="115"/>
      <c r="AW52" s="115"/>
      <c r="AX52" s="115"/>
      <c r="AY52" s="115"/>
      <c r="AZ52" s="115"/>
      <c r="BA52" s="115"/>
    </row>
    <row r="53" spans="1:53" x14ac:dyDescent="0.25">
      <c r="A53" s="115"/>
      <c r="B53" s="115"/>
      <c r="C53" s="115"/>
      <c r="D53" s="115"/>
      <c r="E53" s="115"/>
      <c r="F53" s="115"/>
      <c r="G53" s="115"/>
      <c r="H53" s="115"/>
      <c r="J53" s="115"/>
      <c r="K53" s="115"/>
      <c r="L53" s="115"/>
      <c r="M53" s="115"/>
      <c r="N53" s="115"/>
      <c r="O53" s="115"/>
      <c r="P53" s="115"/>
      <c r="Q53" s="115"/>
      <c r="S53" s="115"/>
      <c r="T53" s="115"/>
      <c r="U53" s="115"/>
      <c r="V53" s="115"/>
      <c r="W53" s="115"/>
      <c r="X53" s="115"/>
      <c r="Y53" s="115"/>
      <c r="Z53" s="115"/>
      <c r="AB53" s="171"/>
      <c r="AC53" s="172"/>
      <c r="AD53" s="172"/>
      <c r="AE53" s="172"/>
      <c r="AF53" s="172"/>
      <c r="AG53" s="172"/>
      <c r="AH53" s="172"/>
      <c r="AI53" s="173"/>
      <c r="AK53" s="180"/>
      <c r="AL53" s="181"/>
      <c r="AM53" s="181"/>
      <c r="AN53" s="181"/>
      <c r="AO53" s="181"/>
      <c r="AP53" s="181"/>
      <c r="AQ53" s="181"/>
      <c r="AR53" s="182"/>
      <c r="AT53" s="115"/>
      <c r="AU53" s="115"/>
      <c r="AV53" s="115"/>
      <c r="AW53" s="115"/>
      <c r="AX53" s="115"/>
      <c r="AY53" s="115"/>
      <c r="AZ53" s="115"/>
      <c r="BA53" s="115"/>
    </row>
    <row r="54" spans="1:53" x14ac:dyDescent="0.25">
      <c r="A54" s="115"/>
      <c r="B54" s="115"/>
      <c r="C54" s="115"/>
      <c r="D54" s="115"/>
      <c r="E54" s="115"/>
      <c r="F54" s="115"/>
      <c r="G54" s="115"/>
      <c r="H54" s="115"/>
      <c r="J54" s="115"/>
      <c r="K54" s="115"/>
      <c r="L54" s="115"/>
      <c r="M54" s="115"/>
      <c r="N54" s="115"/>
      <c r="O54" s="115"/>
      <c r="P54" s="115"/>
      <c r="Q54" s="115"/>
      <c r="S54" s="115"/>
      <c r="T54" s="115"/>
      <c r="U54" s="115"/>
      <c r="V54" s="115"/>
      <c r="W54" s="115"/>
      <c r="X54" s="115"/>
      <c r="Y54" s="115"/>
      <c r="Z54" s="115"/>
      <c r="AB54" s="171"/>
      <c r="AC54" s="172"/>
      <c r="AD54" s="172"/>
      <c r="AE54" s="172"/>
      <c r="AF54" s="172"/>
      <c r="AG54" s="172"/>
      <c r="AH54" s="172"/>
      <c r="AI54" s="173"/>
      <c r="AK54" s="180"/>
      <c r="AL54" s="181"/>
      <c r="AM54" s="181"/>
      <c r="AN54" s="181"/>
      <c r="AO54" s="181"/>
      <c r="AP54" s="181"/>
      <c r="AQ54" s="181"/>
      <c r="AR54" s="182"/>
      <c r="AT54" s="115"/>
      <c r="AU54" s="115"/>
      <c r="AV54" s="115"/>
      <c r="AW54" s="115"/>
      <c r="AX54" s="115"/>
      <c r="AY54" s="115"/>
      <c r="AZ54" s="115"/>
      <c r="BA54" s="115"/>
    </row>
    <row r="55" spans="1:53" x14ac:dyDescent="0.25">
      <c r="A55" s="115"/>
      <c r="B55" s="115"/>
      <c r="C55" s="115"/>
      <c r="D55" s="115"/>
      <c r="E55" s="115"/>
      <c r="F55" s="115"/>
      <c r="G55" s="115"/>
      <c r="H55" s="115"/>
      <c r="J55" s="115"/>
      <c r="K55" s="115"/>
      <c r="L55" s="115"/>
      <c r="M55" s="115"/>
      <c r="N55" s="115"/>
      <c r="O55" s="115"/>
      <c r="P55" s="115"/>
      <c r="Q55" s="115"/>
      <c r="S55" s="115"/>
      <c r="T55" s="115"/>
      <c r="U55" s="115"/>
      <c r="V55" s="115"/>
      <c r="W55" s="115"/>
      <c r="X55" s="115"/>
      <c r="Y55" s="115"/>
      <c r="Z55" s="115"/>
      <c r="AB55" s="171"/>
      <c r="AC55" s="172"/>
      <c r="AD55" s="172"/>
      <c r="AE55" s="172"/>
      <c r="AF55" s="172"/>
      <c r="AG55" s="172"/>
      <c r="AH55" s="172"/>
      <c r="AI55" s="173"/>
      <c r="AK55" s="180"/>
      <c r="AL55" s="181"/>
      <c r="AM55" s="181"/>
      <c r="AN55" s="181"/>
      <c r="AO55" s="181"/>
      <c r="AP55" s="181"/>
      <c r="AQ55" s="181"/>
      <c r="AR55" s="182"/>
      <c r="AT55" s="115"/>
      <c r="AU55" s="115"/>
      <c r="AV55" s="115"/>
      <c r="AW55" s="115"/>
      <c r="AX55" s="115"/>
      <c r="AY55" s="115"/>
      <c r="AZ55" s="115"/>
      <c r="BA55" s="115"/>
    </row>
    <row r="56" spans="1:53" x14ac:dyDescent="0.25">
      <c r="A56" s="115"/>
      <c r="B56" s="115"/>
      <c r="C56" s="115"/>
      <c r="D56" s="115"/>
      <c r="E56" s="115"/>
      <c r="F56" s="115"/>
      <c r="G56" s="115"/>
      <c r="H56" s="115"/>
      <c r="J56" s="115"/>
      <c r="K56" s="115"/>
      <c r="L56" s="115"/>
      <c r="M56" s="115"/>
      <c r="N56" s="115"/>
      <c r="O56" s="115"/>
      <c r="P56" s="115"/>
      <c r="Q56" s="115"/>
      <c r="S56" s="115"/>
      <c r="T56" s="115"/>
      <c r="U56" s="115"/>
      <c r="V56" s="115"/>
      <c r="W56" s="115"/>
      <c r="X56" s="115"/>
      <c r="Y56" s="115"/>
      <c r="Z56" s="115"/>
      <c r="AB56" s="171"/>
      <c r="AC56" s="172"/>
      <c r="AD56" s="172"/>
      <c r="AE56" s="172"/>
      <c r="AF56" s="172"/>
      <c r="AG56" s="172"/>
      <c r="AH56" s="172"/>
      <c r="AI56" s="173"/>
      <c r="AK56" s="180"/>
      <c r="AL56" s="181"/>
      <c r="AM56" s="181"/>
      <c r="AN56" s="181"/>
      <c r="AO56" s="181"/>
      <c r="AP56" s="181"/>
      <c r="AQ56" s="181"/>
      <c r="AR56" s="182"/>
      <c r="AT56" s="115"/>
      <c r="AU56" s="115"/>
      <c r="AV56" s="115"/>
      <c r="AW56" s="115"/>
      <c r="AX56" s="115"/>
      <c r="AY56" s="115"/>
      <c r="AZ56" s="115"/>
      <c r="BA56" s="115"/>
    </row>
    <row r="57" spans="1:53" x14ac:dyDescent="0.25">
      <c r="A57" s="115"/>
      <c r="B57" s="115"/>
      <c r="C57" s="115"/>
      <c r="D57" s="115"/>
      <c r="E57" s="115"/>
      <c r="F57" s="115"/>
      <c r="G57" s="115"/>
      <c r="H57" s="115"/>
      <c r="J57" s="115"/>
      <c r="K57" s="115"/>
      <c r="L57" s="115"/>
      <c r="M57" s="115"/>
      <c r="N57" s="115"/>
      <c r="O57" s="115"/>
      <c r="P57" s="115"/>
      <c r="Q57" s="115"/>
      <c r="S57" s="115"/>
      <c r="T57" s="115"/>
      <c r="U57" s="115"/>
      <c r="V57" s="115"/>
      <c r="W57" s="115"/>
      <c r="X57" s="115"/>
      <c r="Y57" s="115"/>
      <c r="Z57" s="115"/>
      <c r="AB57" s="171"/>
      <c r="AC57" s="172"/>
      <c r="AD57" s="172"/>
      <c r="AE57" s="172"/>
      <c r="AF57" s="172"/>
      <c r="AG57" s="172"/>
      <c r="AH57" s="172"/>
      <c r="AI57" s="173"/>
      <c r="AK57" s="180"/>
      <c r="AL57" s="181"/>
      <c r="AM57" s="181"/>
      <c r="AN57" s="181"/>
      <c r="AO57" s="181"/>
      <c r="AP57" s="181"/>
      <c r="AQ57" s="181"/>
      <c r="AR57" s="182"/>
      <c r="AT57" s="115"/>
      <c r="AU57" s="115"/>
      <c r="AV57" s="115"/>
      <c r="AW57" s="115"/>
      <c r="AX57" s="115"/>
      <c r="AY57" s="115"/>
      <c r="AZ57" s="115"/>
      <c r="BA57" s="115"/>
    </row>
    <row r="58" spans="1:53" x14ac:dyDescent="0.25">
      <c r="A58" s="115"/>
      <c r="B58" s="115"/>
      <c r="C58" s="115"/>
      <c r="D58" s="115"/>
      <c r="E58" s="115"/>
      <c r="F58" s="115"/>
      <c r="G58" s="115"/>
      <c r="H58" s="115"/>
      <c r="J58" s="115"/>
      <c r="K58" s="115"/>
      <c r="L58" s="115"/>
      <c r="M58" s="115"/>
      <c r="N58" s="115"/>
      <c r="O58" s="115"/>
      <c r="P58" s="115"/>
      <c r="Q58" s="115"/>
      <c r="S58" s="115"/>
      <c r="T58" s="115"/>
      <c r="U58" s="115"/>
      <c r="V58" s="115"/>
      <c r="W58" s="115"/>
      <c r="X58" s="115"/>
      <c r="Y58" s="115"/>
      <c r="Z58" s="115"/>
      <c r="AB58" s="171"/>
      <c r="AC58" s="172"/>
      <c r="AD58" s="172"/>
      <c r="AE58" s="172"/>
      <c r="AF58" s="172"/>
      <c r="AG58" s="172"/>
      <c r="AH58" s="172"/>
      <c r="AI58" s="173"/>
      <c r="AK58" s="180"/>
      <c r="AL58" s="181"/>
      <c r="AM58" s="181"/>
      <c r="AN58" s="181"/>
      <c r="AO58" s="181"/>
      <c r="AP58" s="181"/>
      <c r="AQ58" s="181"/>
      <c r="AR58" s="182"/>
      <c r="AT58" s="115"/>
      <c r="AU58" s="115"/>
      <c r="AV58" s="115"/>
      <c r="AW58" s="115"/>
      <c r="AX58" s="115"/>
      <c r="AY58" s="115"/>
      <c r="AZ58" s="115"/>
      <c r="BA58" s="115"/>
    </row>
    <row r="59" spans="1:53" x14ac:dyDescent="0.25">
      <c r="A59" s="115"/>
      <c r="B59" s="115"/>
      <c r="C59" s="115"/>
      <c r="D59" s="115"/>
      <c r="E59" s="115"/>
      <c r="F59" s="115"/>
      <c r="G59" s="115"/>
      <c r="H59" s="115"/>
      <c r="J59" s="115"/>
      <c r="K59" s="115"/>
      <c r="L59" s="115"/>
      <c r="M59" s="115"/>
      <c r="N59" s="115"/>
      <c r="O59" s="115"/>
      <c r="P59" s="115"/>
      <c r="Q59" s="115"/>
      <c r="S59" s="115"/>
      <c r="T59" s="115"/>
      <c r="U59" s="115"/>
      <c r="V59" s="115"/>
      <c r="W59" s="115"/>
      <c r="X59" s="115"/>
      <c r="Y59" s="115"/>
      <c r="Z59" s="115"/>
      <c r="AB59" s="171"/>
      <c r="AC59" s="172"/>
      <c r="AD59" s="172"/>
      <c r="AE59" s="172"/>
      <c r="AF59" s="172"/>
      <c r="AG59" s="172"/>
      <c r="AH59" s="172"/>
      <c r="AI59" s="173"/>
      <c r="AK59" s="180"/>
      <c r="AL59" s="181"/>
      <c r="AM59" s="181"/>
      <c r="AN59" s="181"/>
      <c r="AO59" s="181"/>
      <c r="AP59" s="181"/>
      <c r="AQ59" s="181"/>
      <c r="AR59" s="182"/>
      <c r="AT59" s="115"/>
      <c r="AU59" s="115"/>
      <c r="AV59" s="115"/>
      <c r="AW59" s="115"/>
      <c r="AX59" s="115"/>
      <c r="AY59" s="115"/>
      <c r="AZ59" s="115"/>
      <c r="BA59" s="115"/>
    </row>
    <row r="60" spans="1:53" x14ac:dyDescent="0.25">
      <c r="A60" s="115"/>
      <c r="B60" s="115"/>
      <c r="C60" s="115"/>
      <c r="D60" s="115"/>
      <c r="E60" s="115"/>
      <c r="F60" s="115"/>
      <c r="G60" s="115"/>
      <c r="H60" s="115"/>
      <c r="J60" s="115"/>
      <c r="K60" s="115"/>
      <c r="L60" s="115"/>
      <c r="M60" s="115"/>
      <c r="N60" s="115"/>
      <c r="O60" s="115"/>
      <c r="P60" s="115"/>
      <c r="Q60" s="115"/>
      <c r="S60" s="115"/>
      <c r="T60" s="115"/>
      <c r="U60" s="115"/>
      <c r="V60" s="115"/>
      <c r="W60" s="115"/>
      <c r="X60" s="115"/>
      <c r="Y60" s="115"/>
      <c r="Z60" s="115"/>
      <c r="AB60" s="171"/>
      <c r="AC60" s="172"/>
      <c r="AD60" s="172"/>
      <c r="AE60" s="172"/>
      <c r="AF60" s="172"/>
      <c r="AG60" s="172"/>
      <c r="AH60" s="172"/>
      <c r="AI60" s="173"/>
      <c r="AK60" s="180"/>
      <c r="AL60" s="181"/>
      <c r="AM60" s="181"/>
      <c r="AN60" s="181"/>
      <c r="AO60" s="181"/>
      <c r="AP60" s="181"/>
      <c r="AQ60" s="181"/>
      <c r="AR60" s="182"/>
      <c r="AT60" s="115"/>
      <c r="AU60" s="115"/>
      <c r="AV60" s="115"/>
      <c r="AW60" s="115"/>
      <c r="AX60" s="115"/>
      <c r="AY60" s="115"/>
      <c r="AZ60" s="115"/>
      <c r="BA60" s="115"/>
    </row>
    <row r="61" spans="1:53" x14ac:dyDescent="0.25">
      <c r="A61" s="115"/>
      <c r="B61" s="115"/>
      <c r="C61" s="115"/>
      <c r="D61" s="115"/>
      <c r="E61" s="115"/>
      <c r="F61" s="115"/>
      <c r="G61" s="115"/>
      <c r="H61" s="115"/>
      <c r="J61" s="115"/>
      <c r="K61" s="115"/>
      <c r="L61" s="115"/>
      <c r="M61" s="115"/>
      <c r="N61" s="115"/>
      <c r="O61" s="115"/>
      <c r="P61" s="115"/>
      <c r="Q61" s="115"/>
      <c r="S61" s="115"/>
      <c r="T61" s="115"/>
      <c r="U61" s="115"/>
      <c r="V61" s="115"/>
      <c r="W61" s="115"/>
      <c r="X61" s="115"/>
      <c r="Y61" s="115"/>
      <c r="Z61" s="115"/>
      <c r="AB61" s="171"/>
      <c r="AC61" s="172"/>
      <c r="AD61" s="172"/>
      <c r="AE61" s="172"/>
      <c r="AF61" s="172"/>
      <c r="AG61" s="172"/>
      <c r="AH61" s="172"/>
      <c r="AI61" s="173"/>
      <c r="AK61" s="180"/>
      <c r="AL61" s="181"/>
      <c r="AM61" s="181"/>
      <c r="AN61" s="181"/>
      <c r="AO61" s="181"/>
      <c r="AP61" s="181"/>
      <c r="AQ61" s="181"/>
      <c r="AR61" s="182"/>
      <c r="AT61" s="115"/>
      <c r="AU61" s="115"/>
      <c r="AV61" s="115"/>
      <c r="AW61" s="115"/>
      <c r="AX61" s="115"/>
      <c r="AY61" s="115"/>
      <c r="AZ61" s="115"/>
      <c r="BA61" s="115"/>
    </row>
    <row r="62" spans="1:53" x14ac:dyDescent="0.25">
      <c r="A62" s="115"/>
      <c r="B62" s="115"/>
      <c r="C62" s="115"/>
      <c r="D62" s="115"/>
      <c r="E62" s="115"/>
      <c r="F62" s="115"/>
      <c r="G62" s="115"/>
      <c r="H62" s="115"/>
      <c r="J62" s="115"/>
      <c r="K62" s="115"/>
      <c r="L62" s="115"/>
      <c r="M62" s="115"/>
      <c r="N62" s="115"/>
      <c r="O62" s="115"/>
      <c r="P62" s="115"/>
      <c r="Q62" s="115"/>
      <c r="S62" s="115"/>
      <c r="T62" s="115"/>
      <c r="U62" s="115"/>
      <c r="V62" s="115"/>
      <c r="W62" s="115"/>
      <c r="X62" s="115"/>
      <c r="Y62" s="115"/>
      <c r="Z62" s="115"/>
      <c r="AB62" s="171"/>
      <c r="AC62" s="172"/>
      <c r="AD62" s="172"/>
      <c r="AE62" s="172"/>
      <c r="AF62" s="172"/>
      <c r="AG62" s="172"/>
      <c r="AH62" s="172"/>
      <c r="AI62" s="173"/>
      <c r="AK62" s="180"/>
      <c r="AL62" s="181"/>
      <c r="AM62" s="181"/>
      <c r="AN62" s="181"/>
      <c r="AO62" s="181"/>
      <c r="AP62" s="181"/>
      <c r="AQ62" s="181"/>
      <c r="AR62" s="182"/>
      <c r="AT62" s="115"/>
      <c r="AU62" s="115"/>
      <c r="AV62" s="115"/>
      <c r="AW62" s="115"/>
      <c r="AX62" s="115"/>
      <c r="AY62" s="115"/>
      <c r="AZ62" s="115"/>
      <c r="BA62" s="115"/>
    </row>
    <row r="63" spans="1:53" x14ac:dyDescent="0.25">
      <c r="A63" s="115"/>
      <c r="B63" s="115"/>
      <c r="C63" s="115"/>
      <c r="D63" s="115"/>
      <c r="E63" s="115"/>
      <c r="F63" s="115"/>
      <c r="G63" s="115"/>
      <c r="H63" s="115"/>
      <c r="J63" s="115"/>
      <c r="K63" s="115"/>
      <c r="L63" s="115"/>
      <c r="M63" s="115"/>
      <c r="N63" s="115"/>
      <c r="O63" s="115"/>
      <c r="P63" s="115"/>
      <c r="Q63" s="115"/>
      <c r="S63" s="115"/>
      <c r="T63" s="115"/>
      <c r="U63" s="115"/>
      <c r="V63" s="115"/>
      <c r="W63" s="115"/>
      <c r="X63" s="115"/>
      <c r="Y63" s="115"/>
      <c r="Z63" s="115"/>
      <c r="AB63" s="171"/>
      <c r="AC63" s="172"/>
      <c r="AD63" s="172"/>
      <c r="AE63" s="172"/>
      <c r="AF63" s="172"/>
      <c r="AG63" s="172"/>
      <c r="AH63" s="172"/>
      <c r="AI63" s="173"/>
      <c r="AK63" s="180"/>
      <c r="AL63" s="181"/>
      <c r="AM63" s="181"/>
      <c r="AN63" s="181"/>
      <c r="AO63" s="181"/>
      <c r="AP63" s="181"/>
      <c r="AQ63" s="181"/>
      <c r="AR63" s="182"/>
      <c r="AT63" s="115"/>
      <c r="AU63" s="115"/>
      <c r="AV63" s="115"/>
      <c r="AW63" s="115"/>
      <c r="AX63" s="115"/>
      <c r="AY63" s="115"/>
      <c r="AZ63" s="115"/>
      <c r="BA63" s="115"/>
    </row>
    <row r="64" spans="1:53" x14ac:dyDescent="0.25">
      <c r="A64" s="115"/>
      <c r="B64" s="115"/>
      <c r="C64" s="115"/>
      <c r="D64" s="115"/>
      <c r="E64" s="115"/>
      <c r="F64" s="115"/>
      <c r="G64" s="115"/>
      <c r="H64" s="115"/>
      <c r="J64" s="115"/>
      <c r="K64" s="115"/>
      <c r="L64" s="115"/>
      <c r="M64" s="115"/>
      <c r="N64" s="115"/>
      <c r="O64" s="115"/>
      <c r="P64" s="115"/>
      <c r="Q64" s="115"/>
      <c r="S64" s="115"/>
      <c r="T64" s="115"/>
      <c r="U64" s="115"/>
      <c r="V64" s="115"/>
      <c r="W64" s="115"/>
      <c r="X64" s="115"/>
      <c r="Y64" s="115"/>
      <c r="Z64" s="115"/>
      <c r="AB64" s="171"/>
      <c r="AC64" s="172"/>
      <c r="AD64" s="172"/>
      <c r="AE64" s="172"/>
      <c r="AF64" s="172"/>
      <c r="AG64" s="172"/>
      <c r="AH64" s="172"/>
      <c r="AI64" s="173"/>
      <c r="AK64" s="180"/>
      <c r="AL64" s="181"/>
      <c r="AM64" s="181"/>
      <c r="AN64" s="181"/>
      <c r="AO64" s="181"/>
      <c r="AP64" s="181"/>
      <c r="AQ64" s="181"/>
      <c r="AR64" s="182"/>
      <c r="AT64" s="115"/>
      <c r="AU64" s="115"/>
      <c r="AV64" s="115"/>
      <c r="AW64" s="115"/>
      <c r="AX64" s="115"/>
      <c r="AY64" s="115"/>
      <c r="AZ64" s="115"/>
      <c r="BA64" s="115"/>
    </row>
    <row r="65" spans="1:53" x14ac:dyDescent="0.25">
      <c r="A65" s="115"/>
      <c r="B65" s="115"/>
      <c r="C65" s="115"/>
      <c r="D65" s="115"/>
      <c r="E65" s="115"/>
      <c r="F65" s="115"/>
      <c r="G65" s="115"/>
      <c r="H65" s="115"/>
      <c r="J65" s="115"/>
      <c r="K65" s="115"/>
      <c r="L65" s="115"/>
      <c r="M65" s="115"/>
      <c r="N65" s="115"/>
      <c r="O65" s="115"/>
      <c r="P65" s="115"/>
      <c r="Q65" s="115"/>
      <c r="S65" s="115"/>
      <c r="T65" s="115"/>
      <c r="U65" s="115"/>
      <c r="V65" s="115"/>
      <c r="W65" s="115"/>
      <c r="X65" s="115"/>
      <c r="Y65" s="115"/>
      <c r="Z65" s="115"/>
      <c r="AB65" s="174"/>
      <c r="AC65" s="175"/>
      <c r="AD65" s="175"/>
      <c r="AE65" s="175"/>
      <c r="AF65" s="175"/>
      <c r="AG65" s="175"/>
      <c r="AH65" s="175"/>
      <c r="AI65" s="176"/>
      <c r="AK65" s="183"/>
      <c r="AL65" s="184"/>
      <c r="AM65" s="184"/>
      <c r="AN65" s="184"/>
      <c r="AO65" s="184"/>
      <c r="AP65" s="184"/>
      <c r="AQ65" s="184"/>
      <c r="AR65" s="185"/>
      <c r="AT65" s="115"/>
      <c r="AU65" s="115"/>
      <c r="AV65" s="115"/>
      <c r="AW65" s="115"/>
      <c r="AX65" s="115"/>
      <c r="AY65" s="115"/>
      <c r="AZ65" s="115"/>
      <c r="BA65" s="115"/>
    </row>
    <row r="66" spans="1:53" x14ac:dyDescent="0.25">
      <c r="A66" s="105" t="s">
        <v>211</v>
      </c>
      <c r="B66" s="105"/>
      <c r="C66" s="105"/>
      <c r="D66" s="105"/>
      <c r="E66" s="105"/>
      <c r="F66" s="105"/>
      <c r="G66" s="105"/>
      <c r="H66" s="63" t="str">
        <f>IF(COUNTIF(H67:H70, "="&amp;IncompleteText), IncompleteText, IF(COUNTIF(H67:H70, "="&amp;ErrorText), ErrorText, OKText))</f>
        <v>BLANK</v>
      </c>
      <c r="J66" s="105" t="s">
        <v>218</v>
      </c>
      <c r="K66" s="105"/>
      <c r="L66" s="105"/>
      <c r="M66" s="105"/>
      <c r="N66" s="105"/>
      <c r="O66" s="105"/>
      <c r="P66" s="105"/>
      <c r="Q66" s="63" t="str">
        <f>IF(COUNTIF(Q67:Q69, "="&amp;IncompleteText), IncompleteText, IF(COUNTIF(Q67:Q69, "="&amp;ErrorText), ErrorText, OKText))</f>
        <v>BLANK</v>
      </c>
      <c r="S66" s="105" t="s">
        <v>233</v>
      </c>
      <c r="T66" s="105"/>
      <c r="U66" s="105"/>
      <c r="V66" s="105"/>
      <c r="W66" s="105"/>
      <c r="X66" s="105"/>
      <c r="Y66" s="105"/>
      <c r="Z66" s="63" t="str">
        <f>IF(COUNTIF(Z67:Z68, "="&amp;IncompleteText), IncompleteText, IF(COUNTIF(Z67:Z68, "="&amp;ErrorText), ErrorText, OKText))</f>
        <v>BLANK</v>
      </c>
      <c r="AB66" s="116" t="s">
        <v>235</v>
      </c>
      <c r="AC66" s="116"/>
      <c r="AD66" s="116"/>
      <c r="AE66" s="116"/>
      <c r="AF66" s="116"/>
      <c r="AG66" s="116"/>
      <c r="AH66" s="116"/>
      <c r="AI66" s="63" t="str">
        <f>IF(COUNTIF(AI67, "="&amp;IncompleteText), IncompleteText, IF(COUNTIF(AI67, "="&amp;ErrorText), ErrorText, OKText))</f>
        <v>BLANK</v>
      </c>
      <c r="AK66" s="116" t="s">
        <v>238</v>
      </c>
      <c r="AL66" s="116"/>
      <c r="AM66" s="116"/>
      <c r="AN66" s="116"/>
      <c r="AO66" s="116"/>
      <c r="AP66" s="116"/>
      <c r="AQ66" s="116"/>
      <c r="AR66" s="63" t="str">
        <f>IF(COUNTIF(AR67, "="&amp;IncompleteText), IncompleteText, IF(COUNTIF(AR67, "="&amp;ErrorText), ErrorText, OKText))</f>
        <v>BLANK</v>
      </c>
      <c r="AT66" s="105" t="s">
        <v>241</v>
      </c>
      <c r="AU66" s="105"/>
      <c r="AV66" s="105"/>
      <c r="AW66" s="105"/>
      <c r="AX66" s="105"/>
      <c r="AY66" s="105"/>
      <c r="AZ66" s="105"/>
      <c r="BA66" s="63" t="str">
        <f>IF(COUNTIF(BA67, "="&amp;IncompleteText), IncompleteText, IF(COUNTIF(BA67, "="&amp;ErrorText), ErrorText, OKText))</f>
        <v>BLANK</v>
      </c>
    </row>
    <row r="67" spans="1:53" s="33" customFormat="1" ht="37.5" customHeight="1" x14ac:dyDescent="0.25">
      <c r="A67" s="150" t="s">
        <v>212</v>
      </c>
      <c r="B67" s="150"/>
      <c r="C67" s="150"/>
      <c r="D67" s="150"/>
      <c r="E67" s="150"/>
      <c r="F67" s="150"/>
      <c r="G67" s="38"/>
      <c r="H67" s="54" t="str">
        <f>IF(ISBLANK(G67),IncompleteText, IF(G67, OKText, ErrorText))</f>
        <v>BLANK</v>
      </c>
      <c r="J67" s="150" t="s">
        <v>217</v>
      </c>
      <c r="K67" s="150"/>
      <c r="L67" s="150"/>
      <c r="M67" s="150"/>
      <c r="N67" s="150"/>
      <c r="O67" s="151"/>
      <c r="P67" s="38"/>
      <c r="Q67" s="54" t="str">
        <f>IF(ISBLANK(P67),IncompleteText, IF(P67, OKText, ErrorText))</f>
        <v>BLANK</v>
      </c>
      <c r="S67" s="155" t="s">
        <v>234</v>
      </c>
      <c r="T67" s="155"/>
      <c r="U67" s="155"/>
      <c r="V67" s="155"/>
      <c r="W67" s="155"/>
      <c r="X67" s="190"/>
      <c r="Y67" s="38"/>
      <c r="Z67" s="54" t="str">
        <f>IF(ISBLANK(Y67),IncompleteText, IF(Y67, OKText, ErrorText))</f>
        <v>BLANK</v>
      </c>
      <c r="AB67" s="140" t="s">
        <v>236</v>
      </c>
      <c r="AC67" s="140"/>
      <c r="AD67" s="140"/>
      <c r="AE67" s="140"/>
      <c r="AF67" s="140"/>
      <c r="AG67" s="141"/>
      <c r="AH67" s="38"/>
      <c r="AI67" s="54" t="str">
        <f>IF(ISBLANK(AH67),IncompleteText, IF(AH67, OKText, ErrorText))</f>
        <v>BLANK</v>
      </c>
      <c r="AK67" s="140" t="s">
        <v>239</v>
      </c>
      <c r="AL67" s="140"/>
      <c r="AM67" s="140"/>
      <c r="AN67" s="140"/>
      <c r="AO67" s="140"/>
      <c r="AP67" s="141"/>
      <c r="AQ67" s="38"/>
      <c r="AR67" s="54" t="str">
        <f>IF(ISBLANK(AQ67),IncompleteText, IF(AQ67, OKText, ErrorText))</f>
        <v>BLANK</v>
      </c>
      <c r="AT67" s="140" t="s">
        <v>242</v>
      </c>
      <c r="AU67" s="140"/>
      <c r="AV67" s="140"/>
      <c r="AW67" s="140"/>
      <c r="AX67" s="140"/>
      <c r="AY67" s="141"/>
      <c r="AZ67" s="38"/>
      <c r="BA67" s="54" t="str">
        <f>IF(ISBLANK(AZ67),IncompleteText, IF(AZ67, OKText, ErrorText))</f>
        <v>BLANK</v>
      </c>
    </row>
    <row r="68" spans="1:53" ht="27.6" x14ac:dyDescent="0.25">
      <c r="A68" s="150" t="s">
        <v>213</v>
      </c>
      <c r="B68" s="150"/>
      <c r="C68" s="150"/>
      <c r="D68" s="150"/>
      <c r="E68" s="150"/>
      <c r="F68" s="150"/>
      <c r="G68" s="61"/>
      <c r="H68" s="63" t="str">
        <f>IF(ISBLANK(G68),IncompleteText, IF(G68, OKText, ErrorText))</f>
        <v>BLANK</v>
      </c>
      <c r="J68" s="150" t="s">
        <v>219</v>
      </c>
      <c r="K68" s="150"/>
      <c r="L68" s="150"/>
      <c r="M68" s="150"/>
      <c r="N68" s="150"/>
      <c r="O68" s="151"/>
      <c r="P68" s="61"/>
      <c r="Q68" s="63" t="str">
        <f>IF(ISBLANK(P68),IncompleteText, IF(P68, OKText, ErrorText))</f>
        <v>BLANK</v>
      </c>
      <c r="S68" s="186" t="s">
        <v>451</v>
      </c>
      <c r="T68" s="186"/>
      <c r="U68" s="186"/>
      <c r="V68" s="186"/>
      <c r="W68" s="186"/>
      <c r="X68" s="187"/>
      <c r="Y68" s="61"/>
      <c r="Z68" s="63" t="str">
        <f>IF(ISBLANK(Y68),IncompleteText, IF(Y68, OKText, ErrorText))</f>
        <v>BLANK</v>
      </c>
      <c r="AB68" s="188" t="s">
        <v>210</v>
      </c>
      <c r="AC68" s="188"/>
      <c r="AD68" s="188"/>
      <c r="AE68" s="188"/>
      <c r="AF68" s="188"/>
      <c r="AG68" s="188"/>
      <c r="AH68" s="189"/>
      <c r="AI68" s="39" t="s">
        <v>232</v>
      </c>
      <c r="AK68" s="188" t="s">
        <v>210</v>
      </c>
      <c r="AL68" s="188"/>
      <c r="AM68" s="188"/>
      <c r="AN68" s="188"/>
      <c r="AO68" s="188"/>
      <c r="AP68" s="188"/>
      <c r="AQ68" s="189"/>
      <c r="AR68" s="39" t="s">
        <v>232</v>
      </c>
      <c r="AT68" s="105" t="s">
        <v>210</v>
      </c>
      <c r="AU68" s="105"/>
      <c r="AV68" s="105"/>
      <c r="AW68" s="105"/>
      <c r="AX68" s="105"/>
      <c r="AY68" s="105"/>
      <c r="AZ68" s="105"/>
      <c r="BA68" s="39" t="s">
        <v>232</v>
      </c>
    </row>
    <row r="69" spans="1:53" ht="27.75" customHeight="1" x14ac:dyDescent="0.25">
      <c r="A69" s="150" t="s">
        <v>214</v>
      </c>
      <c r="B69" s="150"/>
      <c r="C69" s="150"/>
      <c r="D69" s="150"/>
      <c r="E69" s="150"/>
      <c r="F69" s="150"/>
      <c r="G69" s="61"/>
      <c r="H69" s="63" t="str">
        <f>IF(ISBLANK(G69),IncompleteText, IF(G69, OKText, ErrorText))</f>
        <v>BLANK</v>
      </c>
      <c r="J69" s="155" t="s">
        <v>221</v>
      </c>
      <c r="K69" s="155"/>
      <c r="L69" s="155"/>
      <c r="M69" s="155"/>
      <c r="N69" s="155"/>
      <c r="O69" s="190"/>
      <c r="P69" s="61"/>
      <c r="Q69" s="63" t="str">
        <f>IF(ISBLANK(P69),IncompleteText, IF(P69, OKText, ErrorText))</f>
        <v>BLANK</v>
      </c>
      <c r="S69" s="78" t="s">
        <v>210</v>
      </c>
      <c r="T69" s="78"/>
      <c r="U69" s="78"/>
      <c r="V69" s="78"/>
      <c r="W69" s="78"/>
      <c r="X69" s="78"/>
      <c r="Y69" s="78"/>
      <c r="Z69" s="202" t="s">
        <v>232</v>
      </c>
      <c r="AB69" s="191"/>
      <c r="AC69" s="124"/>
      <c r="AD69" s="124"/>
      <c r="AE69" s="124"/>
      <c r="AF69" s="124"/>
      <c r="AG69" s="124"/>
      <c r="AH69" s="192"/>
      <c r="AI69" s="200" t="s">
        <v>506</v>
      </c>
      <c r="AK69" s="191"/>
      <c r="AL69" s="124"/>
      <c r="AM69" s="124"/>
      <c r="AN69" s="124"/>
      <c r="AO69" s="124"/>
      <c r="AP69" s="124"/>
      <c r="AQ69" s="192"/>
      <c r="AR69" s="198" t="s">
        <v>507</v>
      </c>
      <c r="AT69" s="199"/>
      <c r="AU69" s="199"/>
      <c r="AV69" s="199"/>
      <c r="AW69" s="199"/>
      <c r="AX69" s="199"/>
      <c r="AY69" s="199"/>
      <c r="AZ69" s="199"/>
      <c r="BA69" s="198" t="s">
        <v>507</v>
      </c>
    </row>
    <row r="70" spans="1:53" ht="22.95" customHeight="1" x14ac:dyDescent="0.25">
      <c r="A70" s="150" t="s">
        <v>215</v>
      </c>
      <c r="B70" s="150"/>
      <c r="C70" s="150"/>
      <c r="D70" s="150"/>
      <c r="E70" s="150"/>
      <c r="F70" s="151"/>
      <c r="G70" s="61"/>
      <c r="H70" s="63" t="str">
        <f>IF(ISBLANK(G70),IncompleteText, IF(G70, OKText, ErrorText))</f>
        <v>BLANK</v>
      </c>
      <c r="J70" s="150" t="s">
        <v>231</v>
      </c>
      <c r="K70" s="150"/>
      <c r="L70" s="150"/>
      <c r="M70" s="150"/>
      <c r="N70" s="150"/>
      <c r="O70" s="151"/>
      <c r="P70" s="61"/>
      <c r="Q70" s="63" t="s">
        <v>216</v>
      </c>
      <c r="S70" s="201"/>
      <c r="T70" s="201"/>
      <c r="U70" s="201"/>
      <c r="V70" s="201"/>
      <c r="W70" s="201"/>
      <c r="X70" s="201"/>
      <c r="Y70" s="201"/>
      <c r="Z70" s="203"/>
      <c r="AB70" s="193"/>
      <c r="AC70" s="125"/>
      <c r="AD70" s="125"/>
      <c r="AE70" s="125"/>
      <c r="AF70" s="125"/>
      <c r="AG70" s="125"/>
      <c r="AH70" s="194"/>
      <c r="AI70" s="200"/>
      <c r="AK70" s="193"/>
      <c r="AL70" s="125"/>
      <c r="AM70" s="125"/>
      <c r="AN70" s="125"/>
      <c r="AO70" s="125"/>
      <c r="AP70" s="125"/>
      <c r="AQ70" s="194"/>
      <c r="AR70" s="198"/>
      <c r="AT70" s="199"/>
      <c r="AU70" s="199"/>
      <c r="AV70" s="199"/>
      <c r="AW70" s="199"/>
      <c r="AX70" s="199"/>
      <c r="AY70" s="199"/>
      <c r="AZ70" s="199"/>
      <c r="BA70" s="198"/>
    </row>
    <row r="71" spans="1:53" x14ac:dyDescent="0.25">
      <c r="A71" s="105" t="s">
        <v>210</v>
      </c>
      <c r="B71" s="105"/>
      <c r="C71" s="105"/>
      <c r="D71" s="105"/>
      <c r="E71" s="105"/>
      <c r="F71" s="105"/>
      <c r="G71" s="105"/>
      <c r="H71" s="20" t="s">
        <v>232</v>
      </c>
      <c r="J71" s="105" t="s">
        <v>210</v>
      </c>
      <c r="K71" s="105"/>
      <c r="L71" s="105"/>
      <c r="M71" s="105"/>
      <c r="N71" s="105"/>
      <c r="O71" s="105"/>
      <c r="P71" s="105"/>
      <c r="Q71" s="20" t="s">
        <v>232</v>
      </c>
      <c r="S71" s="199"/>
      <c r="T71" s="199"/>
      <c r="U71" s="199"/>
      <c r="V71" s="199"/>
      <c r="W71" s="199"/>
      <c r="X71" s="199"/>
      <c r="Y71" s="199"/>
      <c r="Z71" s="200" t="s">
        <v>505</v>
      </c>
      <c r="AB71" s="193"/>
      <c r="AC71" s="125"/>
      <c r="AD71" s="125"/>
      <c r="AE71" s="125"/>
      <c r="AF71" s="125"/>
      <c r="AG71" s="125"/>
      <c r="AH71" s="194"/>
      <c r="AI71" s="200"/>
      <c r="AK71" s="193"/>
      <c r="AL71" s="125"/>
      <c r="AM71" s="125"/>
      <c r="AN71" s="125"/>
      <c r="AO71" s="125"/>
      <c r="AP71" s="125"/>
      <c r="AQ71" s="194"/>
      <c r="AR71" s="198"/>
      <c r="AT71" s="199"/>
      <c r="AU71" s="199"/>
      <c r="AV71" s="199"/>
      <c r="AW71" s="199"/>
      <c r="AX71" s="199"/>
      <c r="AY71" s="199"/>
      <c r="AZ71" s="199"/>
      <c r="BA71" s="198"/>
    </row>
    <row r="72" spans="1:53" x14ac:dyDescent="0.25">
      <c r="A72" s="144"/>
      <c r="B72" s="144"/>
      <c r="C72" s="144"/>
      <c r="D72" s="144"/>
      <c r="E72" s="144"/>
      <c r="F72" s="144"/>
      <c r="G72" s="144"/>
      <c r="H72" s="204" t="s">
        <v>500</v>
      </c>
      <c r="J72" s="144"/>
      <c r="K72" s="144"/>
      <c r="L72" s="144"/>
      <c r="M72" s="144"/>
      <c r="N72" s="144"/>
      <c r="O72" s="144"/>
      <c r="P72" s="144"/>
      <c r="Q72" s="205" t="s">
        <v>504</v>
      </c>
      <c r="S72" s="199"/>
      <c r="T72" s="199"/>
      <c r="U72" s="199"/>
      <c r="V72" s="199"/>
      <c r="W72" s="199"/>
      <c r="X72" s="199"/>
      <c r="Y72" s="199"/>
      <c r="Z72" s="200"/>
      <c r="AB72" s="193"/>
      <c r="AC72" s="125"/>
      <c r="AD72" s="125"/>
      <c r="AE72" s="125"/>
      <c r="AF72" s="125"/>
      <c r="AG72" s="125"/>
      <c r="AH72" s="194"/>
      <c r="AI72" s="200"/>
      <c r="AK72" s="193"/>
      <c r="AL72" s="125"/>
      <c r="AM72" s="125"/>
      <c r="AN72" s="125"/>
      <c r="AO72" s="125"/>
      <c r="AP72" s="125"/>
      <c r="AQ72" s="194"/>
      <c r="AR72" s="198"/>
      <c r="AT72" s="199"/>
      <c r="AU72" s="199"/>
      <c r="AV72" s="199"/>
      <c r="AW72" s="199"/>
      <c r="AX72" s="199"/>
      <c r="AY72" s="199"/>
      <c r="AZ72" s="199"/>
      <c r="BA72" s="198"/>
    </row>
    <row r="73" spans="1:53" x14ac:dyDescent="0.25">
      <c r="A73" s="144"/>
      <c r="B73" s="144"/>
      <c r="C73" s="144"/>
      <c r="D73" s="144"/>
      <c r="E73" s="144"/>
      <c r="F73" s="144"/>
      <c r="G73" s="144"/>
      <c r="H73" s="204"/>
      <c r="J73" s="144"/>
      <c r="K73" s="144"/>
      <c r="L73" s="144"/>
      <c r="M73" s="144"/>
      <c r="N73" s="144"/>
      <c r="O73" s="144"/>
      <c r="P73" s="144"/>
      <c r="Q73" s="206"/>
      <c r="S73" s="199"/>
      <c r="T73" s="199"/>
      <c r="U73" s="199"/>
      <c r="V73" s="199"/>
      <c r="W73" s="199"/>
      <c r="X73" s="199"/>
      <c r="Y73" s="199"/>
      <c r="Z73" s="200"/>
      <c r="AB73" s="195"/>
      <c r="AC73" s="196"/>
      <c r="AD73" s="196"/>
      <c r="AE73" s="196"/>
      <c r="AF73" s="196"/>
      <c r="AG73" s="196"/>
      <c r="AH73" s="197"/>
      <c r="AI73" s="200"/>
      <c r="AK73" s="195"/>
      <c r="AL73" s="196"/>
      <c r="AM73" s="196"/>
      <c r="AN73" s="196"/>
      <c r="AO73" s="196"/>
      <c r="AP73" s="196"/>
      <c r="AQ73" s="197"/>
      <c r="AR73" s="198"/>
      <c r="AT73" s="199"/>
      <c r="AU73" s="199"/>
      <c r="AV73" s="199"/>
      <c r="AW73" s="199"/>
      <c r="AX73" s="199"/>
      <c r="AY73" s="199"/>
      <c r="AZ73" s="199"/>
      <c r="BA73" s="198"/>
    </row>
    <row r="74" spans="1:53" x14ac:dyDescent="0.25">
      <c r="A74" s="144"/>
      <c r="B74" s="144"/>
      <c r="C74" s="144"/>
      <c r="D74" s="144"/>
      <c r="E74" s="144"/>
      <c r="F74" s="144"/>
      <c r="G74" s="144"/>
      <c r="H74" s="204"/>
      <c r="J74" s="144"/>
      <c r="K74" s="144"/>
      <c r="L74" s="144"/>
      <c r="M74" s="144"/>
      <c r="N74" s="144"/>
      <c r="O74" s="144"/>
      <c r="P74" s="144"/>
      <c r="Q74" s="207"/>
      <c r="S74" s="199"/>
      <c r="T74" s="199"/>
      <c r="U74" s="199"/>
      <c r="V74" s="199"/>
      <c r="W74" s="199"/>
      <c r="X74" s="199"/>
      <c r="Y74" s="199"/>
      <c r="Z74" s="200"/>
    </row>
    <row r="78" spans="1:53" x14ac:dyDescent="0.25">
      <c r="A78" s="115" t="s">
        <v>220</v>
      </c>
      <c r="B78" s="115"/>
      <c r="C78" s="115"/>
      <c r="D78" s="115"/>
      <c r="E78" s="115"/>
      <c r="F78" s="115"/>
      <c r="G78" s="115"/>
      <c r="H78" s="115"/>
      <c r="J78" s="127" t="s">
        <v>510</v>
      </c>
      <c r="K78" s="115"/>
      <c r="L78" s="115"/>
      <c r="M78" s="115"/>
      <c r="N78" s="115"/>
      <c r="O78" s="115"/>
      <c r="P78" s="115"/>
      <c r="Q78" s="115"/>
    </row>
    <row r="79" spans="1:53" x14ac:dyDescent="0.25">
      <c r="A79" s="115"/>
      <c r="B79" s="115"/>
      <c r="C79" s="115"/>
      <c r="D79" s="115"/>
      <c r="E79" s="115"/>
      <c r="F79" s="115"/>
      <c r="G79" s="115"/>
      <c r="H79" s="115"/>
      <c r="J79" s="115"/>
      <c r="K79" s="115"/>
      <c r="L79" s="115"/>
      <c r="M79" s="115"/>
      <c r="N79" s="115"/>
      <c r="O79" s="115"/>
      <c r="P79" s="115"/>
      <c r="Q79" s="115"/>
    </row>
    <row r="80" spans="1:53" x14ac:dyDescent="0.25">
      <c r="A80" s="115"/>
      <c r="B80" s="115"/>
      <c r="C80" s="115"/>
      <c r="D80" s="115"/>
      <c r="E80" s="115"/>
      <c r="F80" s="115"/>
      <c r="G80" s="115"/>
      <c r="H80" s="115"/>
      <c r="J80" s="115"/>
      <c r="K80" s="115"/>
      <c r="L80" s="115"/>
      <c r="M80" s="115"/>
      <c r="N80" s="115"/>
      <c r="O80" s="115"/>
      <c r="P80" s="115"/>
      <c r="Q80" s="115"/>
    </row>
    <row r="81" spans="1:17" x14ac:dyDescent="0.25">
      <c r="A81" s="115"/>
      <c r="B81" s="115"/>
      <c r="C81" s="115"/>
      <c r="D81" s="115"/>
      <c r="E81" s="115"/>
      <c r="F81" s="115"/>
      <c r="G81" s="115"/>
      <c r="H81" s="115"/>
      <c r="J81" s="115"/>
      <c r="K81" s="115"/>
      <c r="L81" s="115"/>
      <c r="M81" s="115"/>
      <c r="N81" s="115"/>
      <c r="O81" s="115"/>
      <c r="P81" s="115"/>
      <c r="Q81" s="115"/>
    </row>
    <row r="82" spans="1:17" x14ac:dyDescent="0.25">
      <c r="A82" s="115"/>
      <c r="B82" s="115"/>
      <c r="C82" s="115"/>
      <c r="D82" s="115"/>
      <c r="E82" s="115"/>
      <c r="F82" s="115"/>
      <c r="G82" s="115"/>
      <c r="H82" s="115"/>
      <c r="J82" s="115"/>
      <c r="K82" s="115"/>
      <c r="L82" s="115"/>
      <c r="M82" s="115"/>
      <c r="N82" s="115"/>
      <c r="O82" s="115"/>
      <c r="P82" s="115"/>
      <c r="Q82" s="115"/>
    </row>
    <row r="83" spans="1:17" x14ac:dyDescent="0.25">
      <c r="A83" s="115"/>
      <c r="B83" s="115"/>
      <c r="C83" s="115"/>
      <c r="D83" s="115"/>
      <c r="E83" s="115"/>
      <c r="F83" s="115"/>
      <c r="G83" s="115"/>
      <c r="H83" s="115"/>
      <c r="J83" s="115"/>
      <c r="K83" s="115"/>
      <c r="L83" s="115"/>
      <c r="M83" s="115"/>
      <c r="N83" s="115"/>
      <c r="O83" s="115"/>
      <c r="P83" s="115"/>
      <c r="Q83" s="115"/>
    </row>
    <row r="84" spans="1:17" x14ac:dyDescent="0.25">
      <c r="A84" s="115"/>
      <c r="B84" s="115"/>
      <c r="C84" s="115"/>
      <c r="D84" s="115"/>
      <c r="E84" s="115"/>
      <c r="F84" s="115"/>
      <c r="G84" s="115"/>
      <c r="H84" s="115"/>
      <c r="J84" s="115"/>
      <c r="K84" s="115"/>
      <c r="L84" s="115"/>
      <c r="M84" s="115"/>
      <c r="N84" s="115"/>
      <c r="O84" s="115"/>
      <c r="P84" s="115"/>
      <c r="Q84" s="115"/>
    </row>
    <row r="85" spans="1:17" x14ac:dyDescent="0.25">
      <c r="A85" s="115"/>
      <c r="B85" s="115"/>
      <c r="C85" s="115"/>
      <c r="D85" s="115"/>
      <c r="E85" s="115"/>
      <c r="F85" s="115"/>
      <c r="G85" s="115"/>
      <c r="H85" s="115"/>
      <c r="J85" s="115"/>
      <c r="K85" s="115"/>
      <c r="L85" s="115"/>
      <c r="M85" s="115"/>
      <c r="N85" s="115"/>
      <c r="O85" s="115"/>
      <c r="P85" s="115"/>
      <c r="Q85" s="115"/>
    </row>
    <row r="86" spans="1:17" x14ac:dyDescent="0.25">
      <c r="A86" s="115"/>
      <c r="B86" s="115"/>
      <c r="C86" s="115"/>
      <c r="D86" s="115"/>
      <c r="E86" s="115"/>
      <c r="F86" s="115"/>
      <c r="G86" s="115"/>
      <c r="H86" s="115"/>
      <c r="J86" s="115"/>
      <c r="K86" s="115"/>
      <c r="L86" s="115"/>
      <c r="M86" s="115"/>
      <c r="N86" s="115"/>
      <c r="O86" s="115"/>
      <c r="P86" s="115"/>
      <c r="Q86" s="115"/>
    </row>
    <row r="87" spans="1:17" x14ac:dyDescent="0.25">
      <c r="A87" s="115"/>
      <c r="B87" s="115"/>
      <c r="C87" s="115"/>
      <c r="D87" s="115"/>
      <c r="E87" s="115"/>
      <c r="F87" s="115"/>
      <c r="G87" s="115"/>
      <c r="H87" s="115"/>
      <c r="J87" s="115"/>
      <c r="K87" s="115"/>
      <c r="L87" s="115"/>
      <c r="M87" s="115"/>
      <c r="N87" s="115"/>
      <c r="O87" s="115"/>
      <c r="P87" s="115"/>
      <c r="Q87" s="115"/>
    </row>
    <row r="88" spans="1:17" x14ac:dyDescent="0.25">
      <c r="A88" s="115"/>
      <c r="B88" s="115"/>
      <c r="C88" s="115"/>
      <c r="D88" s="115"/>
      <c r="E88" s="115"/>
      <c r="F88" s="115"/>
      <c r="G88" s="115"/>
      <c r="H88" s="115"/>
      <c r="J88" s="115"/>
      <c r="K88" s="115"/>
      <c r="L88" s="115"/>
      <c r="M88" s="115"/>
      <c r="N88" s="115"/>
      <c r="O88" s="115"/>
      <c r="P88" s="115"/>
      <c r="Q88" s="115"/>
    </row>
    <row r="89" spans="1:17" x14ac:dyDescent="0.25">
      <c r="A89" s="115"/>
      <c r="B89" s="115"/>
      <c r="C89" s="115"/>
      <c r="D89" s="115"/>
      <c r="E89" s="115"/>
      <c r="F89" s="115"/>
      <c r="G89" s="115"/>
      <c r="H89" s="115"/>
      <c r="J89" s="115"/>
      <c r="K89" s="115"/>
      <c r="L89" s="115"/>
      <c r="M89" s="115"/>
      <c r="N89" s="115"/>
      <c r="O89" s="115"/>
      <c r="P89" s="115"/>
      <c r="Q89" s="115"/>
    </row>
    <row r="90" spans="1:17" x14ac:dyDescent="0.25">
      <c r="A90" s="115"/>
      <c r="B90" s="115"/>
      <c r="C90" s="115"/>
      <c r="D90" s="115"/>
      <c r="E90" s="115"/>
      <c r="F90" s="115"/>
      <c r="G90" s="115"/>
      <c r="H90" s="115"/>
      <c r="J90" s="115"/>
      <c r="K90" s="115"/>
      <c r="L90" s="115"/>
      <c r="M90" s="115"/>
      <c r="N90" s="115"/>
      <c r="O90" s="115"/>
      <c r="P90" s="115"/>
      <c r="Q90" s="115"/>
    </row>
    <row r="91" spans="1:17" x14ac:dyDescent="0.25">
      <c r="A91" s="115"/>
      <c r="B91" s="115"/>
      <c r="C91" s="115"/>
      <c r="D91" s="115"/>
      <c r="E91" s="115"/>
      <c r="F91" s="115"/>
      <c r="G91" s="115"/>
      <c r="H91" s="115"/>
      <c r="J91" s="115"/>
      <c r="K91" s="115"/>
      <c r="L91" s="115"/>
      <c r="M91" s="115"/>
      <c r="N91" s="115"/>
      <c r="O91" s="115"/>
      <c r="P91" s="115"/>
      <c r="Q91" s="115"/>
    </row>
    <row r="92" spans="1:17" x14ac:dyDescent="0.25">
      <c r="A92" s="115"/>
      <c r="B92" s="115"/>
      <c r="C92" s="115"/>
      <c r="D92" s="115"/>
      <c r="E92" s="115"/>
      <c r="F92" s="115"/>
      <c r="G92" s="115"/>
      <c r="H92" s="115"/>
      <c r="J92" s="115"/>
      <c r="K92" s="115"/>
      <c r="L92" s="115"/>
      <c r="M92" s="115"/>
      <c r="N92" s="115"/>
      <c r="O92" s="115"/>
      <c r="P92" s="115"/>
      <c r="Q92" s="115"/>
    </row>
    <row r="93" spans="1:17" x14ac:dyDescent="0.25">
      <c r="A93" s="115"/>
      <c r="B93" s="115"/>
      <c r="C93" s="115"/>
      <c r="D93" s="115"/>
      <c r="E93" s="115"/>
      <c r="F93" s="115"/>
      <c r="G93" s="115"/>
      <c r="H93" s="115"/>
      <c r="J93" s="115"/>
      <c r="K93" s="115"/>
      <c r="L93" s="115"/>
      <c r="M93" s="115"/>
      <c r="N93" s="115"/>
      <c r="O93" s="115"/>
      <c r="P93" s="115"/>
      <c r="Q93" s="115"/>
    </row>
    <row r="94" spans="1:17" x14ac:dyDescent="0.25">
      <c r="A94" s="115"/>
      <c r="B94" s="115"/>
      <c r="C94" s="115"/>
      <c r="D94" s="115"/>
      <c r="E94" s="115"/>
      <c r="F94" s="115"/>
      <c r="G94" s="115"/>
      <c r="H94" s="115"/>
      <c r="J94" s="115"/>
      <c r="K94" s="115"/>
      <c r="L94" s="115"/>
      <c r="M94" s="115"/>
      <c r="N94" s="115"/>
      <c r="O94" s="115"/>
      <c r="P94" s="115"/>
      <c r="Q94" s="115"/>
    </row>
    <row r="95" spans="1:17" x14ac:dyDescent="0.25">
      <c r="A95" s="115"/>
      <c r="B95" s="115"/>
      <c r="C95" s="115"/>
      <c r="D95" s="115"/>
      <c r="E95" s="115"/>
      <c r="F95" s="115"/>
      <c r="G95" s="115"/>
      <c r="H95" s="115"/>
      <c r="J95" s="115"/>
      <c r="K95" s="115"/>
      <c r="L95" s="115"/>
      <c r="M95" s="115"/>
      <c r="N95" s="115"/>
      <c r="O95" s="115"/>
      <c r="P95" s="115"/>
      <c r="Q95" s="115"/>
    </row>
    <row r="96" spans="1:17" x14ac:dyDescent="0.25">
      <c r="A96" s="115"/>
      <c r="B96" s="115"/>
      <c r="C96" s="115"/>
      <c r="D96" s="115"/>
      <c r="E96" s="115"/>
      <c r="F96" s="115"/>
      <c r="G96" s="115"/>
      <c r="H96" s="115"/>
      <c r="J96" s="115"/>
      <c r="K96" s="115"/>
      <c r="L96" s="115"/>
      <c r="M96" s="115"/>
      <c r="N96" s="115"/>
      <c r="O96" s="115"/>
      <c r="P96" s="115"/>
      <c r="Q96" s="115"/>
    </row>
    <row r="97" spans="1:17" x14ac:dyDescent="0.25">
      <c r="A97" s="105" t="s">
        <v>220</v>
      </c>
      <c r="B97" s="105"/>
      <c r="C97" s="105"/>
      <c r="D97" s="105"/>
      <c r="E97" s="105"/>
      <c r="F97" s="105"/>
      <c r="G97" s="105"/>
      <c r="H97" s="63" t="str">
        <f>IF(COUNTIF(H98:H106, "="&amp;IncompleteText), IncompleteText, IF(COUNTIF(H98:H106, "="&amp;ErrorText), ErrorText, OKText))</f>
        <v>BLANK</v>
      </c>
      <c r="J97" s="105" t="s">
        <v>509</v>
      </c>
      <c r="K97" s="105"/>
      <c r="L97" s="105"/>
      <c r="M97" s="105"/>
      <c r="N97" s="105"/>
      <c r="O97" s="105"/>
      <c r="P97" s="105"/>
      <c r="Q97" s="63" t="str">
        <f>IF(COUNTIF(Q98:Q100, "="&amp;IncompleteText), IncompleteText, IF(COUNTIF(Q98:Q100, "="&amp;ErrorText), ErrorText, OKText))</f>
        <v>BLANK</v>
      </c>
    </row>
    <row r="98" spans="1:17" x14ac:dyDescent="0.25">
      <c r="A98" s="150" t="s">
        <v>222</v>
      </c>
      <c r="B98" s="150"/>
      <c r="C98" s="150"/>
      <c r="D98" s="150"/>
      <c r="E98" s="150"/>
      <c r="F98" s="150"/>
      <c r="G98" s="61"/>
      <c r="H98" s="63" t="str">
        <f>IF(ISBLANK(G98),IncompleteText, OKText)</f>
        <v>BLANK</v>
      </c>
      <c r="J98" s="121" t="s">
        <v>511</v>
      </c>
      <c r="K98" s="121"/>
      <c r="L98" s="121"/>
      <c r="M98" s="121"/>
      <c r="N98" s="121"/>
      <c r="O98" s="131"/>
      <c r="P98" s="38"/>
      <c r="Q98" s="54" t="str">
        <f>IF(ISBLANK(P98),IncompleteText, IF(P98, OKText, ErrorText))</f>
        <v>BLANK</v>
      </c>
    </row>
    <row r="99" spans="1:17" x14ac:dyDescent="0.25">
      <c r="A99" s="150" t="s">
        <v>223</v>
      </c>
      <c r="B99" s="150"/>
      <c r="C99" s="150"/>
      <c r="D99" s="150"/>
      <c r="E99" s="150"/>
      <c r="F99" s="151"/>
      <c r="G99" s="61"/>
      <c r="H99" s="63" t="str">
        <f>IF(G$98="车队自制电路 Self-designed",OKText,IF(ISBLANK(G99),IncompleteText,IF(G99&gt;MaxTSVoltage,OKText,ErrorText)))</f>
        <v>BLANK</v>
      </c>
      <c r="J99" s="121" t="s">
        <v>512</v>
      </c>
      <c r="K99" s="121"/>
      <c r="L99" s="121"/>
      <c r="M99" s="121"/>
      <c r="N99" s="121"/>
      <c r="O99" s="131"/>
      <c r="P99" s="61"/>
      <c r="Q99" s="63" t="str">
        <f>IF(ISBLANK(P99),IncompleteText, IF(P99, OKText, ErrorText))</f>
        <v>BLANK</v>
      </c>
    </row>
    <row r="100" spans="1:17" x14ac:dyDescent="0.25">
      <c r="A100" s="150" t="s">
        <v>227</v>
      </c>
      <c r="B100" s="150"/>
      <c r="C100" s="150"/>
      <c r="D100" s="150"/>
      <c r="E100" s="150"/>
      <c r="F100" s="151"/>
      <c r="G100" s="61"/>
      <c r="H100" s="63" t="str">
        <f>IF(G$98="车队自制电路 Self-designed",OKText,IF(ISBLANK(G100),IncompleteText,OKText))</f>
        <v>BLANK</v>
      </c>
      <c r="J100" s="142" t="s">
        <v>513</v>
      </c>
      <c r="K100" s="142"/>
      <c r="L100" s="142"/>
      <c r="M100" s="142"/>
      <c r="N100" s="142"/>
      <c r="O100" s="143"/>
      <c r="P100" s="61"/>
      <c r="Q100" s="63" t="str">
        <f>IF(ISBLANK(P100),IncompleteText, IF(P100, OKText, ErrorText))</f>
        <v>BLANK</v>
      </c>
    </row>
    <row r="101" spans="1:17" x14ac:dyDescent="0.25">
      <c r="A101" s="150" t="s">
        <v>225</v>
      </c>
      <c r="B101" s="150"/>
      <c r="C101" s="150"/>
      <c r="D101" s="150"/>
      <c r="E101" s="150"/>
      <c r="F101" s="151"/>
      <c r="G101" s="61"/>
      <c r="H101" s="63" t="str">
        <f>IF(G$98="供应商采购 From suppliers",OKText,IF(ISBLANK(G101),IncompleteText,IF(G101,OKText,ErrorText)))</f>
        <v>BLANK</v>
      </c>
      <c r="J101" s="105" t="s">
        <v>210</v>
      </c>
      <c r="K101" s="105"/>
      <c r="L101" s="105"/>
      <c r="M101" s="105"/>
      <c r="N101" s="105"/>
      <c r="O101" s="105"/>
      <c r="P101" s="105"/>
      <c r="Q101" s="69" t="s">
        <v>232</v>
      </c>
    </row>
    <row r="102" spans="1:17" ht="31.5" customHeight="1" x14ac:dyDescent="0.25">
      <c r="A102" s="155" t="s">
        <v>224</v>
      </c>
      <c r="B102" s="155"/>
      <c r="C102" s="155"/>
      <c r="D102" s="155"/>
      <c r="E102" s="155"/>
      <c r="F102" s="190"/>
      <c r="G102" s="61"/>
      <c r="H102" s="63" t="str">
        <f>IF(G$98="供应商采购 From suppliers",OKText,IF(ISBLANK(G102),IncompleteText,IF(G102,ErrorText,OKText)))</f>
        <v>BLANK</v>
      </c>
      <c r="J102" s="144"/>
      <c r="K102" s="144"/>
      <c r="L102" s="144"/>
      <c r="M102" s="144"/>
      <c r="N102" s="144"/>
      <c r="O102" s="144"/>
      <c r="P102" s="144"/>
      <c r="Q102" s="145" t="s">
        <v>551</v>
      </c>
    </row>
    <row r="103" spans="1:17" x14ac:dyDescent="0.25">
      <c r="A103" s="150" t="s">
        <v>226</v>
      </c>
      <c r="B103" s="150"/>
      <c r="C103" s="150"/>
      <c r="D103" s="150"/>
      <c r="E103" s="150"/>
      <c r="F103" s="151"/>
      <c r="G103" s="32"/>
      <c r="H103" s="63" t="str">
        <f>IF(G$98="供应商采购 From suppliers",OKText,IF(ISBLANK(G103),IncompleteText,OKText))</f>
        <v>BLANK</v>
      </c>
      <c r="J103" s="144"/>
      <c r="K103" s="144"/>
      <c r="L103" s="144"/>
      <c r="M103" s="144"/>
      <c r="N103" s="144"/>
      <c r="O103" s="144"/>
      <c r="P103" s="144"/>
      <c r="Q103" s="146"/>
    </row>
    <row r="104" spans="1:17" x14ac:dyDescent="0.25">
      <c r="A104" s="150" t="s">
        <v>228</v>
      </c>
      <c r="B104" s="150"/>
      <c r="C104" s="150"/>
      <c r="D104" s="150"/>
      <c r="E104" s="150"/>
      <c r="F104" s="151"/>
      <c r="G104" s="61"/>
      <c r="H104" s="63" t="str">
        <f>IF(G$98="供应商采购 From suppliers",OKText,IF(ISBLANK(G104),IncompleteText,IF(ISBLANK(G104),ErrorText,OKText)))</f>
        <v>BLANK</v>
      </c>
      <c r="J104" s="144"/>
      <c r="K104" s="144"/>
      <c r="L104" s="144"/>
      <c r="M104" s="144"/>
      <c r="N104" s="144"/>
      <c r="O104" s="144"/>
      <c r="P104" s="144"/>
      <c r="Q104" s="147"/>
    </row>
    <row r="105" spans="1:17" x14ac:dyDescent="0.25">
      <c r="A105" s="150" t="s">
        <v>467</v>
      </c>
      <c r="B105" s="150"/>
      <c r="C105" s="150"/>
      <c r="D105" s="150"/>
      <c r="E105" s="150"/>
      <c r="F105" s="151"/>
      <c r="G105" s="61"/>
      <c r="H105" s="63" t="str">
        <f>IF(ISBLANK(G105),IncompleteText, OKText)</f>
        <v>BLANK</v>
      </c>
    </row>
    <row r="106" spans="1:17" ht="29.25" customHeight="1" x14ac:dyDescent="0.25">
      <c r="A106" s="155" t="s">
        <v>229</v>
      </c>
      <c r="B106" s="155"/>
      <c r="C106" s="155"/>
      <c r="D106" s="155"/>
      <c r="E106" s="155"/>
      <c r="F106" s="190"/>
      <c r="G106" s="61"/>
      <c r="H106" s="63" t="str">
        <f>IF(ISBLANK(G106),IncompleteText, IF(G106, OKText, ErrorText))</f>
        <v>BLANK</v>
      </c>
    </row>
    <row r="108" spans="1:17" x14ac:dyDescent="0.25">
      <c r="A108" s="208" t="s">
        <v>230</v>
      </c>
      <c r="B108" s="83"/>
      <c r="C108" s="83"/>
      <c r="D108" s="83"/>
      <c r="E108" s="83"/>
      <c r="F108" s="83"/>
      <c r="G108" s="83"/>
    </row>
    <row r="109" spans="1:17" x14ac:dyDescent="0.25">
      <c r="A109" s="199"/>
      <c r="B109" s="199"/>
      <c r="C109" s="199"/>
      <c r="D109" s="199"/>
      <c r="E109" s="199"/>
      <c r="F109" s="199"/>
      <c r="G109" s="199"/>
    </row>
    <row r="110" spans="1:17" x14ac:dyDescent="0.25">
      <c r="A110" s="199"/>
      <c r="B110" s="199"/>
      <c r="C110" s="199"/>
      <c r="D110" s="199"/>
      <c r="E110" s="199"/>
      <c r="F110" s="199"/>
      <c r="G110" s="199"/>
    </row>
    <row r="111" spans="1:17" x14ac:dyDescent="0.25">
      <c r="A111" s="199"/>
      <c r="B111" s="199"/>
      <c r="C111" s="199"/>
      <c r="D111" s="199"/>
      <c r="E111" s="199"/>
      <c r="F111" s="199"/>
      <c r="G111" s="199"/>
    </row>
    <row r="112" spans="1:17" x14ac:dyDescent="0.25">
      <c r="A112" s="199"/>
      <c r="B112" s="199"/>
      <c r="C112" s="199"/>
      <c r="D112" s="199"/>
      <c r="E112" s="199"/>
      <c r="F112" s="199"/>
      <c r="G112" s="199"/>
    </row>
  </sheetData>
  <sheetProtection algorithmName="SHA-512" hashValue="Ma7B/kuGdG6/hA/B8JovL4fr4WtzJadz7GdlpLZgWlk505n4oKRutuphS7HLpfcyad2cEYrfYsVyzK+RVUpxMg==" saltValue="M5fIfUQtWQtlQMMcJT+/vw==" spinCount="100000" sheet="1" scenarios="1" insertHyperlinks="0"/>
  <protectedRanges>
    <protectedRange sqref="C4:D5 C6:C12 C13:D14" name="data1"/>
  </protectedRanges>
  <dataConsolidate/>
  <mergeCells count="213">
    <mergeCell ref="A17:D17"/>
    <mergeCell ref="A18:D18"/>
    <mergeCell ref="A19:D19"/>
    <mergeCell ref="A20:D20"/>
    <mergeCell ref="A22:I22"/>
    <mergeCell ref="K22:P22"/>
    <mergeCell ref="R22:V22"/>
    <mergeCell ref="X22:AC22"/>
    <mergeCell ref="AE22:AJ22"/>
    <mergeCell ref="AM22:AS22"/>
    <mergeCell ref="AU22:BA22"/>
    <mergeCell ref="A23:C23"/>
    <mergeCell ref="D23:E23"/>
    <mergeCell ref="K23:N23"/>
    <mergeCell ref="O23:P23"/>
    <mergeCell ref="R23:T23"/>
    <mergeCell ref="AU23:BA43"/>
    <mergeCell ref="A24:A25"/>
    <mergeCell ref="B24:B25"/>
    <mergeCell ref="C24:C25"/>
    <mergeCell ref="D24:D25"/>
    <mergeCell ref="E24:E25"/>
    <mergeCell ref="F24:G25"/>
    <mergeCell ref="H24:I25"/>
    <mergeCell ref="K24:N24"/>
    <mergeCell ref="O24:P24"/>
    <mergeCell ref="U23:V23"/>
    <mergeCell ref="X23:AA23"/>
    <mergeCell ref="AB23:AC23"/>
    <mergeCell ref="AE23:AH23"/>
    <mergeCell ref="AI23:AJ23"/>
    <mergeCell ref="AM23:AS43"/>
    <mergeCell ref="AE26:AH26"/>
    <mergeCell ref="AI27:AJ27"/>
    <mergeCell ref="X28:AA28"/>
    <mergeCell ref="AB29:AC29"/>
    <mergeCell ref="R24:T24"/>
    <mergeCell ref="X24:AA24"/>
    <mergeCell ref="AE24:AH24"/>
    <mergeCell ref="AI24:AJ24"/>
    <mergeCell ref="L25:M25"/>
    <mergeCell ref="O25:P25"/>
    <mergeCell ref="R25:T25"/>
    <mergeCell ref="U25:V25"/>
    <mergeCell ref="X25:AA25"/>
    <mergeCell ref="AE25:AH25"/>
    <mergeCell ref="F27:G27"/>
    <mergeCell ref="H27:I27"/>
    <mergeCell ref="K27:N27"/>
    <mergeCell ref="R27:V27"/>
    <mergeCell ref="X27:AA27"/>
    <mergeCell ref="AE27:AH27"/>
    <mergeCell ref="F26:G26"/>
    <mergeCell ref="H26:I26"/>
    <mergeCell ref="K26:N26"/>
    <mergeCell ref="R26:T26"/>
    <mergeCell ref="X26:AA26"/>
    <mergeCell ref="AB26:AC26"/>
    <mergeCell ref="F29:G29"/>
    <mergeCell ref="H29:I29"/>
    <mergeCell ref="K29:N29"/>
    <mergeCell ref="O29:P29"/>
    <mergeCell ref="R29:T29"/>
    <mergeCell ref="X29:AA29"/>
    <mergeCell ref="F28:G28"/>
    <mergeCell ref="H28:I28"/>
    <mergeCell ref="K28:N28"/>
    <mergeCell ref="O28:P28"/>
    <mergeCell ref="R28:T28"/>
    <mergeCell ref="U28:V28"/>
    <mergeCell ref="U33:V33"/>
    <mergeCell ref="F32:G32"/>
    <mergeCell ref="H32:I32"/>
    <mergeCell ref="K32:N32"/>
    <mergeCell ref="O32:P32"/>
    <mergeCell ref="R32:V32"/>
    <mergeCell ref="X32:AA32"/>
    <mergeCell ref="F30:G30"/>
    <mergeCell ref="H30:I30"/>
    <mergeCell ref="K30:P30"/>
    <mergeCell ref="R30:T30"/>
    <mergeCell ref="X30:AA30"/>
    <mergeCell ref="F31:G31"/>
    <mergeCell ref="H31:I31"/>
    <mergeCell ref="K31:N31"/>
    <mergeCell ref="R31:T31"/>
    <mergeCell ref="X31:AA31"/>
    <mergeCell ref="R34:T34"/>
    <mergeCell ref="F35:G35"/>
    <mergeCell ref="H35:I35"/>
    <mergeCell ref="K35:N35"/>
    <mergeCell ref="O35:P35"/>
    <mergeCell ref="R35:T35"/>
    <mergeCell ref="F33:G33"/>
    <mergeCell ref="H33:I33"/>
    <mergeCell ref="K33:N33"/>
    <mergeCell ref="O33:P33"/>
    <mergeCell ref="R33:T33"/>
    <mergeCell ref="F36:G36"/>
    <mergeCell ref="H36:I36"/>
    <mergeCell ref="K36:P36"/>
    <mergeCell ref="F37:G37"/>
    <mergeCell ref="H37:I37"/>
    <mergeCell ref="K37:N37"/>
    <mergeCell ref="O37:P37"/>
    <mergeCell ref="F34:G34"/>
    <mergeCell ref="H34:I34"/>
    <mergeCell ref="K34:N34"/>
    <mergeCell ref="O34:P34"/>
    <mergeCell ref="O40:P40"/>
    <mergeCell ref="F41:G41"/>
    <mergeCell ref="H41:I41"/>
    <mergeCell ref="K41:N41"/>
    <mergeCell ref="O41:P41"/>
    <mergeCell ref="F38:G38"/>
    <mergeCell ref="H38:I38"/>
    <mergeCell ref="K38:N38"/>
    <mergeCell ref="F39:G39"/>
    <mergeCell ref="H39:I39"/>
    <mergeCell ref="K39:N39"/>
    <mergeCell ref="F42:G42"/>
    <mergeCell ref="H42:I42"/>
    <mergeCell ref="K42:N42"/>
    <mergeCell ref="F43:G43"/>
    <mergeCell ref="H43:I43"/>
    <mergeCell ref="K43:N43"/>
    <mergeCell ref="F40:G40"/>
    <mergeCell ref="H40:I40"/>
    <mergeCell ref="K40:N40"/>
    <mergeCell ref="AT47:BA65"/>
    <mergeCell ref="A66:G66"/>
    <mergeCell ref="J66:P66"/>
    <mergeCell ref="S66:Y66"/>
    <mergeCell ref="AB66:AH66"/>
    <mergeCell ref="AK66:AQ66"/>
    <mergeCell ref="AT66:AZ66"/>
    <mergeCell ref="K44:N44"/>
    <mergeCell ref="A47:H65"/>
    <mergeCell ref="J47:Q65"/>
    <mergeCell ref="S47:Z65"/>
    <mergeCell ref="AB47:AI65"/>
    <mergeCell ref="AK47:AR65"/>
    <mergeCell ref="J68:O68"/>
    <mergeCell ref="S68:X68"/>
    <mergeCell ref="AB68:AH68"/>
    <mergeCell ref="AK68:AQ68"/>
    <mergeCell ref="AT68:AZ68"/>
    <mergeCell ref="A67:F67"/>
    <mergeCell ref="J67:O67"/>
    <mergeCell ref="S67:X67"/>
    <mergeCell ref="AB67:AG67"/>
    <mergeCell ref="AK67:AP67"/>
    <mergeCell ref="AT67:AY67"/>
    <mergeCell ref="AK69:AQ73"/>
    <mergeCell ref="AR69:AR73"/>
    <mergeCell ref="AT69:AZ73"/>
    <mergeCell ref="BA69:BA73"/>
    <mergeCell ref="A70:F70"/>
    <mergeCell ref="J70:O70"/>
    <mergeCell ref="A71:G71"/>
    <mergeCell ref="J71:P71"/>
    <mergeCell ref="S71:Y74"/>
    <mergeCell ref="Z71:Z74"/>
    <mergeCell ref="A69:F69"/>
    <mergeCell ref="J69:O69"/>
    <mergeCell ref="S69:Y70"/>
    <mergeCell ref="Z69:Z70"/>
    <mergeCell ref="AB69:AH73"/>
    <mergeCell ref="AI69:AI73"/>
    <mergeCell ref="A72:G74"/>
    <mergeCell ref="H72:H74"/>
    <mergeCell ref="J72:P74"/>
    <mergeCell ref="Q72:Q74"/>
    <mergeCell ref="A106:F106"/>
    <mergeCell ref="A108:G108"/>
    <mergeCell ref="A109:G112"/>
    <mergeCell ref="I4:N7"/>
    <mergeCell ref="I1:M1"/>
    <mergeCell ref="A102:F102"/>
    <mergeCell ref="J102:P104"/>
    <mergeCell ref="Q102:Q104"/>
    <mergeCell ref="A103:F103"/>
    <mergeCell ref="A104:F104"/>
    <mergeCell ref="A105:F105"/>
    <mergeCell ref="A99:F99"/>
    <mergeCell ref="J99:O99"/>
    <mergeCell ref="A100:F100"/>
    <mergeCell ref="J100:O100"/>
    <mergeCell ref="A101:F101"/>
    <mergeCell ref="J101:P101"/>
    <mergeCell ref="A78:H96"/>
    <mergeCell ref="J78:Q96"/>
    <mergeCell ref="A97:G97"/>
    <mergeCell ref="J97:P97"/>
    <mergeCell ref="A98:F98"/>
    <mergeCell ref="J98:O98"/>
    <mergeCell ref="A68:F68"/>
    <mergeCell ref="A10:B10"/>
    <mergeCell ref="A11:B11"/>
    <mergeCell ref="A12:B12"/>
    <mergeCell ref="A13:B13"/>
    <mergeCell ref="C13:D13"/>
    <mergeCell ref="A14:B14"/>
    <mergeCell ref="C14:D14"/>
    <mergeCell ref="A3:D3"/>
    <mergeCell ref="A4:B4"/>
    <mergeCell ref="C4:D4"/>
    <mergeCell ref="A5:B5"/>
    <mergeCell ref="C5:D5"/>
    <mergeCell ref="A6:B6"/>
    <mergeCell ref="A7:B7"/>
    <mergeCell ref="A8:B8"/>
    <mergeCell ref="A9:B9"/>
  </mergeCells>
  <phoneticPr fontId="12" type="noConversion"/>
  <conditionalFormatting sqref="A99:H100">
    <cfRule type="expression" dxfId="22" priority="3">
      <formula>$G$98="车队自制电路 Self-designed"</formula>
    </cfRule>
  </conditionalFormatting>
  <conditionalFormatting sqref="A101:H104">
    <cfRule type="expression" dxfId="21" priority="2">
      <formula>$G$98="供应商采购 From Suppliers"</formula>
    </cfRule>
  </conditionalFormatting>
  <conditionalFormatting sqref="K28:K29 O28:O29">
    <cfRule type="expression" dxfId="20" priority="6">
      <formula>$O$24="供应商提供 From Suppliers"</formula>
    </cfRule>
  </conditionalFormatting>
  <conditionalFormatting sqref="K34 O34:P34">
    <cfRule type="expression" dxfId="19" priority="5">
      <formula>$O$33&lt;&gt;"其他 Other"</formula>
    </cfRule>
  </conditionalFormatting>
  <conditionalFormatting sqref="K38 O38:Q38">
    <cfRule type="expression" dxfId="18" priority="4">
      <formula>$O$37="极耳 Cell tabs"</formula>
    </cfRule>
  </conditionalFormatting>
  <conditionalFormatting sqref="K25:L25 N25:O25">
    <cfRule type="expression" dxfId="17" priority="7">
      <formula>$O$24="车队自制 Team design"</formula>
    </cfRule>
  </conditionalFormatting>
  <conditionalFormatting sqref="AE24:AK27">
    <cfRule type="expression" dxfId="16" priority="1">
      <formula>$AI$23="否 No"</formula>
    </cfRule>
  </conditionalFormatting>
  <dataValidations count="14">
    <dataValidation type="list" allowBlank="1" showInputMessage="1" showErrorMessage="1" sqref="AI23:AJ23 AI27:AJ27 N1" xr:uid="{9877B401-244B-4B38-9AAB-460D2CBAD857}">
      <formula1>"是 Yes, 否 No"</formula1>
    </dataValidation>
    <dataValidation type="list" allowBlank="1" showInputMessage="1" showErrorMessage="1" sqref="E17" xr:uid="{C767654F-16C9-4BD5-B501-ED2EF3C78AD5}">
      <formula1>"并联 Parallel,串联 Serial"</formula1>
    </dataValidation>
    <dataValidation type="list" allowBlank="1" showInputMessage="1" showErrorMessage="1" sqref="D23:E23" xr:uid="{C808E48F-2370-4F01-A01A-4537E03D3F3E}">
      <formula1>"先并后串 Parallel then serial, 先串后并 Serial then parallel"</formula1>
    </dataValidation>
    <dataValidation type="list" allowBlank="1" showInputMessage="1" showErrorMessage="1" sqref="O32:P32 U25:V25 U33:V33 G105" xr:uid="{48218DD6-D8BA-4045-8882-17C3F8A5A02B}">
      <formula1>FuseName</formula1>
    </dataValidation>
    <dataValidation type="list" allowBlank="1" showInputMessage="1" showErrorMessage="1" sqref="O24:P24" xr:uid="{36F4BDE4-2FAB-4F4E-89C9-BA5992EB85B4}">
      <formula1>"供应商提供 From Suppliers, 车队设计 Team design"</formula1>
    </dataValidation>
    <dataValidation type="list" allowBlank="1" showInputMessage="1" showErrorMessage="1" sqref="O33:P33" xr:uid="{C8134B3B-340E-4E61-BEA4-8FA17876E488}">
      <formula1>"BMS PCB,导线 Wiring, 其他 Other"</formula1>
    </dataValidation>
    <dataValidation type="list" allowBlank="1" showInputMessage="1" showErrorMessage="1" sqref="O23:P23" xr:uid="{2417E889-3293-40BD-BF38-568CD2E70189}">
      <formula1>"分布式 Distributed,集中式 Centralized"</formula1>
    </dataValidation>
    <dataValidation type="list" allowBlank="1" showInputMessage="1" showErrorMessage="1" sqref="O37:P37" xr:uid="{D5E2F927-BC03-415C-BCE9-8F386B48BB50}">
      <formula1>"极耳 Cell tabs,铜排 Busbar"</formula1>
    </dataValidation>
    <dataValidation type="list" allowBlank="1" showInputMessage="1" showErrorMessage="1" sqref="G67:G70 P67:P70 Y67:Y68 AH67 AZ67 AQ67 G106 G101:G102 G104 P98:P100" xr:uid="{99889F47-D086-4E54-8545-DDCA0743FA60}">
      <formula1>"TRUE,FALSE"</formula1>
    </dataValidation>
    <dataValidation type="list" allowBlank="1" showInputMessage="1" showErrorMessage="1" sqref="U28" xr:uid="{FE09C20F-4627-4395-9B03-1F4F8BCACDA1}">
      <formula1>ContactorNames</formula1>
    </dataValidation>
    <dataValidation type="list" allowBlank="1" showInputMessage="1" showErrorMessage="1" sqref="U23:V23" xr:uid="{E30927C7-73F1-422A-8288-22BFA309180F}">
      <formula1>ConnectorNames</formula1>
    </dataValidation>
    <dataValidation type="list" allowBlank="1" showInputMessage="1" showErrorMessage="1" sqref="AB23:AC23 AB26:AC26 AB29" xr:uid="{A5BB9307-A3A7-4620-9CDC-9689446FB5A5}">
      <formula1>InsulationNames</formula1>
    </dataValidation>
    <dataValidation type="list" allowBlank="1" showInputMessage="1" showErrorMessage="1" sqref="G98" xr:uid="{15D3D7B2-2B44-4C54-95FD-429D88AFA44C}">
      <formula1>"车队自制电路 Self-designed,供应商采购 From suppliers"</formula1>
    </dataValidation>
    <dataValidation type="list" allowBlank="1" showInputMessage="1" showErrorMessage="1" sqref="AI24:AJ24" xr:uid="{8099D851-74ED-4B65-BF7E-022669C6DC32}">
      <formula1>"50V-150V,150V-300V,300V-600V"</formula1>
    </dataValidation>
  </dataValidations>
  <pageMargins left="0.7" right="0.7" top="0.75" bottom="0.75" header="0.3" footer="0.3"/>
  <pageSetup paperSize="9"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A3997-AF3E-4C32-88DA-6D6ADBB02F80}">
  <sheetPr codeName="Sheet6"/>
  <dimension ref="A1:T37"/>
  <sheetViews>
    <sheetView workbookViewId="0">
      <selection activeCell="J21" sqref="J21"/>
    </sheetView>
  </sheetViews>
  <sheetFormatPr defaultRowHeight="13.8" x14ac:dyDescent="0.25"/>
  <cols>
    <col min="1" max="1" width="12" customWidth="1"/>
    <col min="3" max="3" width="16.6640625" customWidth="1"/>
    <col min="9" max="9" width="23" customWidth="1"/>
  </cols>
  <sheetData>
    <row r="1" spans="1:20" x14ac:dyDescent="0.25">
      <c r="A1" s="27" t="s">
        <v>72</v>
      </c>
      <c r="B1" s="49" t="str" cm="1">
        <f t="array" aca="1" ref="B1" ca="1">IF(SUM(COUNTIF(INDIRECT({"$F$2","$L$2","$R$2"}), "="&amp;IncompleteText)), IncompleteText, IF(SUM(COUNTIF(INDIRECT({"$F$2","$L$2","$R$2"}), "="&amp;ErrorText)), ErrorText, OKText))</f>
        <v>BLANK</v>
      </c>
      <c r="C1" s="2"/>
      <c r="D1" s="2"/>
      <c r="E1" s="2"/>
      <c r="F1" s="2"/>
      <c r="G1" s="2"/>
      <c r="H1" s="2"/>
      <c r="I1" s="2"/>
      <c r="J1" s="2"/>
      <c r="K1" s="2"/>
      <c r="L1" s="2"/>
      <c r="M1" s="2"/>
      <c r="N1" s="2"/>
      <c r="O1" s="2"/>
      <c r="P1" s="2"/>
      <c r="Q1" s="2"/>
      <c r="R1" s="2"/>
      <c r="S1" s="2"/>
      <c r="T1" s="2"/>
    </row>
    <row r="2" spans="1:20" x14ac:dyDescent="0.25">
      <c r="A2" s="105" t="s">
        <v>109</v>
      </c>
      <c r="B2" s="105"/>
      <c r="C2" s="105"/>
      <c r="D2" s="105"/>
      <c r="E2" s="105"/>
      <c r="F2" s="49" t="str">
        <f>IF(COUNTIF(F3:F19, "="&amp;IncompleteText), IncompleteText, IF(COUNTIF(F3:F19, "="&amp;ErrorText), ErrorText, OKText))</f>
        <v>BLANK</v>
      </c>
      <c r="G2" s="105" t="s">
        <v>110</v>
      </c>
      <c r="H2" s="105"/>
      <c r="I2" s="105"/>
      <c r="J2" s="105"/>
      <c r="K2" s="105"/>
      <c r="L2" s="49" t="str">
        <f>IF(COUNTIF(L3:L15, "="&amp;IncompleteText), IncompleteText, IF(COUNTIF(L3:L15, "="&amp;ErrorText), ErrorText, OKText))</f>
        <v>BLANK</v>
      </c>
      <c r="M2" s="105" t="s">
        <v>478</v>
      </c>
      <c r="N2" s="105"/>
      <c r="O2" s="105"/>
      <c r="P2" s="105"/>
      <c r="Q2" s="105"/>
      <c r="R2" s="49" t="str">
        <f>IF(COUNTIF(R3:R8, "="&amp;IncompleteText), IncompleteText, IF(COUNTIF(R3:R8, "="&amp;ErrorText), ErrorText, OKText))</f>
        <v>BLANK</v>
      </c>
      <c r="S2" s="213" t="s">
        <v>268</v>
      </c>
      <c r="T2" s="214"/>
    </row>
    <row r="3" spans="1:20" x14ac:dyDescent="0.25">
      <c r="A3" s="106" t="s">
        <v>243</v>
      </c>
      <c r="B3" s="106"/>
      <c r="C3" s="109"/>
      <c r="D3" s="137"/>
      <c r="E3" s="138"/>
      <c r="F3" s="49" t="str">
        <f>IF(ISBLANK(D3), IncompleteText, OKText)</f>
        <v>BLANK</v>
      </c>
      <c r="G3" s="106" t="s">
        <v>243</v>
      </c>
      <c r="H3" s="106"/>
      <c r="I3" s="109"/>
      <c r="J3" s="137"/>
      <c r="K3" s="138"/>
      <c r="L3" s="49" t="str">
        <f>IF(ISBLANK(J3), IncompleteText, OKText)</f>
        <v>BLANK</v>
      </c>
      <c r="M3" s="106" t="s">
        <v>243</v>
      </c>
      <c r="N3" s="106"/>
      <c r="O3" s="109"/>
      <c r="P3" s="137"/>
      <c r="Q3" s="138"/>
      <c r="R3" s="49" t="str">
        <f>IF(ISBLANK(P3), IncompleteText, OKText)</f>
        <v>BLANK</v>
      </c>
      <c r="S3" s="98" t="s">
        <v>518</v>
      </c>
      <c r="T3" s="114"/>
    </row>
    <row r="4" spans="1:20" x14ac:dyDescent="0.25">
      <c r="A4" s="106" t="s">
        <v>244</v>
      </c>
      <c r="B4" s="106"/>
      <c r="C4" s="109"/>
      <c r="D4" s="5"/>
      <c r="E4" s="16"/>
      <c r="F4" s="49" t="str">
        <f>IF(ISBLANK(D4), IncompleteText, OKText)</f>
        <v>BLANK</v>
      </c>
      <c r="G4" s="106" t="s">
        <v>244</v>
      </c>
      <c r="H4" s="106"/>
      <c r="I4" s="109"/>
      <c r="J4" s="5"/>
      <c r="K4" s="16"/>
      <c r="L4" s="49" t="str">
        <f>IF(ISBLANK(J4), IncompleteText, OKText)</f>
        <v>BLANK</v>
      </c>
      <c r="M4" s="106" t="s">
        <v>244</v>
      </c>
      <c r="N4" s="106"/>
      <c r="O4" s="109"/>
      <c r="P4" s="95"/>
      <c r="Q4" s="95"/>
      <c r="R4" s="49" t="str">
        <f>IF(ISBLANK(P4), IncompleteText, OKText)</f>
        <v>BLANK</v>
      </c>
      <c r="S4" s="114"/>
      <c r="T4" s="114"/>
    </row>
    <row r="5" spans="1:20" x14ac:dyDescent="0.25">
      <c r="A5" s="106" t="s">
        <v>245</v>
      </c>
      <c r="B5" s="106"/>
      <c r="C5" s="109"/>
      <c r="D5" s="5"/>
      <c r="E5" s="16"/>
      <c r="F5" s="49" t="str">
        <f>IF(ISBLANK(D5), IncompleteText, OKText)</f>
        <v>BLANK</v>
      </c>
      <c r="G5" s="106" t="s">
        <v>245</v>
      </c>
      <c r="H5" s="106"/>
      <c r="I5" s="109"/>
      <c r="J5" s="5"/>
      <c r="K5" s="16"/>
      <c r="L5" s="49" t="str">
        <f>IF(ISBLANK(J5), IncompleteText, OKText)</f>
        <v>BLANK</v>
      </c>
      <c r="M5" s="106" t="s">
        <v>245</v>
      </c>
      <c r="N5" s="106"/>
      <c r="O5" s="109"/>
      <c r="P5" s="95"/>
      <c r="Q5" s="95"/>
      <c r="R5" s="49" t="str">
        <f>IF(ISBLANK(P5), IncompleteText, OKText)</f>
        <v>BLANK</v>
      </c>
      <c r="S5" s="114"/>
      <c r="T5" s="114"/>
    </row>
    <row r="6" spans="1:20" x14ac:dyDescent="0.25">
      <c r="A6" s="106" t="s">
        <v>246</v>
      </c>
      <c r="B6" s="106"/>
      <c r="C6" s="109"/>
      <c r="D6" s="73" t="e">
        <f>VLOOKUP(D3, ResistorsTable, 3, )*D5/D4</f>
        <v>#N/A</v>
      </c>
      <c r="E6" s="16" t="s">
        <v>20</v>
      </c>
      <c r="G6" s="106" t="s">
        <v>246</v>
      </c>
      <c r="H6" s="106"/>
      <c r="I6" s="109"/>
      <c r="J6" s="73" t="e">
        <f>VLOOKUP(J3, ResistorsTable, 3, )*J5/J4</f>
        <v>#N/A</v>
      </c>
      <c r="K6" s="16" t="s">
        <v>20</v>
      </c>
      <c r="M6" s="106" t="s">
        <v>246</v>
      </c>
      <c r="N6" s="106"/>
      <c r="O6" s="109"/>
      <c r="P6" s="73" t="e">
        <f>VLOOKUP(P3, ResistorsTable, 3, )*P5/P4</f>
        <v>#N/A</v>
      </c>
      <c r="Q6" s="16" t="s">
        <v>20</v>
      </c>
      <c r="R6" s="49" t="e">
        <f>IF(MaxTSVoltage&lt;=200,IF(P6=5000, OKText, ErrorText),IF(MaxTSVoltage &gt; 400, IF(P6=15000, OKText, ErrorText), IF(P6=10000, OKText, ErrorText)))</f>
        <v>#N/A</v>
      </c>
      <c r="S6" s="114"/>
      <c r="T6" s="114"/>
    </row>
    <row r="7" spans="1:20" x14ac:dyDescent="0.25">
      <c r="A7" s="106" t="s">
        <v>247</v>
      </c>
      <c r="B7" s="106"/>
      <c r="C7" s="109"/>
      <c r="D7" s="73" t="e">
        <f>VLOOKUP(D3, ResistorsTable, 4, FALSE)*D4*D5</f>
        <v>#N/A</v>
      </c>
      <c r="E7" s="16" t="s">
        <v>21</v>
      </c>
      <c r="G7" s="106" t="s">
        <v>247</v>
      </c>
      <c r="H7" s="106"/>
      <c r="I7" s="109"/>
      <c r="J7" s="73" t="e">
        <f>VLOOKUP(J3, ResistorsTable, 4, FALSE)*J4*J5</f>
        <v>#N/A</v>
      </c>
      <c r="K7" s="16" t="s">
        <v>21</v>
      </c>
      <c r="L7" s="49" t="e">
        <f>IF(J7=0,IncompleteText,IF(J7&gt;=J9,OKText,ErrorText))</f>
        <v>#N/A</v>
      </c>
      <c r="M7" s="106" t="s">
        <v>247</v>
      </c>
      <c r="N7" s="106"/>
      <c r="O7" s="109"/>
      <c r="P7" s="73" t="e">
        <f>VLOOKUP(P3, ResistorsTable, 4, FALSE)*P5*P4</f>
        <v>#N/A</v>
      </c>
      <c r="Q7" s="16" t="s">
        <v>21</v>
      </c>
      <c r="R7" s="49" t="e">
        <f>IF(P7&lt;P9, ErrorText, OKText)</f>
        <v>#N/A</v>
      </c>
      <c r="S7" s="114"/>
      <c r="T7" s="114"/>
    </row>
    <row r="8" spans="1:20" x14ac:dyDescent="0.25">
      <c r="A8" s="106" t="s">
        <v>248</v>
      </c>
      <c r="B8" s="106"/>
      <c r="C8" s="109"/>
      <c r="D8" s="5"/>
      <c r="E8" s="16" t="s">
        <v>21</v>
      </c>
      <c r="F8" s="49" t="str">
        <f>IF(ISBLANK(D8), IncompleteText, OKText)</f>
        <v>BLANK</v>
      </c>
      <c r="G8" s="106" t="s">
        <v>249</v>
      </c>
      <c r="H8" s="106"/>
      <c r="I8" s="109"/>
      <c r="J8" s="73" t="e">
        <f>VLOOKUP(J3, ResistorsTable, 2, FALSE)*J5</f>
        <v>#N/A</v>
      </c>
      <c r="K8" s="16" t="s">
        <v>250</v>
      </c>
      <c r="L8" s="49" t="e">
        <f>IF(J8=0,IncompleteText,IF(J8&lt;MaxTSVoltage, ErrorText, OKText))</f>
        <v>#N/A</v>
      </c>
      <c r="M8" s="106" t="s">
        <v>249</v>
      </c>
      <c r="N8" s="106"/>
      <c r="O8" s="109"/>
      <c r="P8" s="73" t="e">
        <f>VLOOKUP(P3, ResistorsTable, 2, FALSE)*P5</f>
        <v>#N/A</v>
      </c>
      <c r="Q8" s="16" t="s">
        <v>0</v>
      </c>
      <c r="R8" s="49" t="e">
        <f>IF(P8&lt;MaxTSVoltage, ErrorText, OKText)</f>
        <v>#N/A</v>
      </c>
      <c r="S8" s="114"/>
      <c r="T8" s="114"/>
    </row>
    <row r="9" spans="1:20" x14ac:dyDescent="0.25">
      <c r="A9" s="106" t="s">
        <v>249</v>
      </c>
      <c r="B9" s="106"/>
      <c r="C9" s="109"/>
      <c r="D9" s="73" t="e">
        <f>VLOOKUP(D3, ResistorsTable, 2, FALSE)*D5</f>
        <v>#N/A</v>
      </c>
      <c r="E9" s="16" t="s">
        <v>250</v>
      </c>
      <c r="F9" s="49" t="e">
        <f>IF(D9&lt;MaxTSVoltage, ErrorText, OKText)</f>
        <v>#N/A</v>
      </c>
      <c r="G9" s="106" t="s">
        <v>261</v>
      </c>
      <c r="H9" s="106"/>
      <c r="I9" s="109"/>
      <c r="J9" s="73" t="e">
        <f>MaxTSVoltage^2/DischargeRes</f>
        <v>#N/A</v>
      </c>
      <c r="K9" s="16" t="s">
        <v>21</v>
      </c>
      <c r="M9" s="106" t="s">
        <v>267</v>
      </c>
      <c r="N9" s="106"/>
      <c r="O9" s="109"/>
      <c r="P9" s="73" t="e">
        <f>MaxTSVoltage^2/(2*P6)</f>
        <v>#N/A</v>
      </c>
      <c r="Q9" s="16" t="s">
        <v>27</v>
      </c>
      <c r="R9" s="49" t="str">
        <f>IF(ISNA(P9),IncompleteText,IF((P9/2)&lt;=P7,OKText,ErrorText))</f>
        <v>BLANK</v>
      </c>
    </row>
    <row r="10" spans="1:20" x14ac:dyDescent="0.25">
      <c r="A10" s="106" t="s">
        <v>251</v>
      </c>
      <c r="B10" s="106"/>
      <c r="C10" s="109"/>
      <c r="D10" s="19"/>
      <c r="E10" s="16" t="s">
        <v>22</v>
      </c>
      <c r="F10" s="49" t="str">
        <f>IF(ISBLANK(BusCap), IncompleteText, OKText)</f>
        <v>BLANK</v>
      </c>
      <c r="G10" s="106" t="s">
        <v>262</v>
      </c>
      <c r="H10" s="106"/>
      <c r="I10" s="109"/>
      <c r="J10" s="76" t="e">
        <f>MaxTSVoltage/DischargeRes</f>
        <v>#N/A</v>
      </c>
      <c r="K10" s="16" t="s">
        <v>2</v>
      </c>
    </row>
    <row r="11" spans="1:20" x14ac:dyDescent="0.25">
      <c r="A11" s="106" t="s">
        <v>252</v>
      </c>
      <c r="B11" s="106"/>
      <c r="C11" s="109"/>
      <c r="D11" s="5"/>
      <c r="E11" s="16" t="s">
        <v>26</v>
      </c>
      <c r="F11" s="49" t="str">
        <f>IF(ISBLANK(D11), IncompleteText, IF(D11&gt;=95,OKText,ErrorText))</f>
        <v>BLANK</v>
      </c>
      <c r="G11" s="106" t="s">
        <v>263</v>
      </c>
      <c r="H11" s="106"/>
      <c r="I11" s="106"/>
      <c r="J11" s="73" t="e">
        <f>-LN(60/MaxTSVoltage)*DischargeRes*(BusCap/1000)</f>
        <v>#DIV/0!</v>
      </c>
      <c r="K11" s="16" t="s">
        <v>24</v>
      </c>
    </row>
    <row r="12" spans="1:20" x14ac:dyDescent="0.25">
      <c r="A12" s="106" t="s">
        <v>253</v>
      </c>
      <c r="B12" s="106"/>
      <c r="C12" s="109"/>
      <c r="D12" s="73" t="e">
        <f>MaxTSVoltage^2/PrechargeRes</f>
        <v>#N/A</v>
      </c>
      <c r="E12" s="16" t="s">
        <v>21</v>
      </c>
      <c r="G12" s="106" t="s">
        <v>264</v>
      </c>
      <c r="H12" s="106"/>
      <c r="I12" s="109"/>
      <c r="J12" s="108"/>
      <c r="K12" s="108"/>
      <c r="L12" s="49" t="str">
        <f>IF(ISBLANK(J12), IncompleteText, OKText)</f>
        <v>BLANK</v>
      </c>
    </row>
    <row r="13" spans="1:20" x14ac:dyDescent="0.25">
      <c r="A13" s="106" t="s">
        <v>254</v>
      </c>
      <c r="B13" s="106"/>
      <c r="C13" s="109"/>
      <c r="D13" s="76" t="e">
        <f>MaxTSVoltage/PrechargeRes</f>
        <v>#N/A</v>
      </c>
      <c r="E13" s="16" t="s">
        <v>2</v>
      </c>
      <c r="G13" s="106" t="s">
        <v>265</v>
      </c>
      <c r="H13" s="106"/>
      <c r="I13" s="109"/>
      <c r="J13" s="73" t="e">
        <f>VLOOKUP(J12, ContactorsTable, 2, FALSE)</f>
        <v>#N/A</v>
      </c>
      <c r="K13" s="16" t="s">
        <v>0</v>
      </c>
      <c r="L13" s="49" t="e">
        <f>IF(J13&lt;MaxTSVoltage, ErrorText, OKText)</f>
        <v>#N/A</v>
      </c>
    </row>
    <row r="14" spans="1:20" x14ac:dyDescent="0.25">
      <c r="A14" s="106" t="s">
        <v>255</v>
      </c>
      <c r="B14" s="106"/>
      <c r="C14" s="109"/>
      <c r="D14" s="76" t="e">
        <f>-LN(0.05)*(BusCap/1000)*PrechargeRes</f>
        <v>#N/A</v>
      </c>
      <c r="E14" s="16" t="s">
        <v>23</v>
      </c>
      <c r="G14" s="106" t="s">
        <v>260</v>
      </c>
      <c r="H14" s="106"/>
      <c r="I14" s="109"/>
      <c r="J14" s="73" t="e">
        <f>VLOOKUP(J12, ContactorsTable, 3, FALSE)</f>
        <v>#N/A</v>
      </c>
      <c r="K14" s="16" t="s">
        <v>2</v>
      </c>
      <c r="L14" s="49" t="e">
        <f>IF(J14&lt;J10, ErrorText, OKText)</f>
        <v>#N/A</v>
      </c>
    </row>
    <row r="15" spans="1:20" x14ac:dyDescent="0.25">
      <c r="A15" s="106" t="s">
        <v>256</v>
      </c>
      <c r="B15" s="106"/>
      <c r="C15" s="109"/>
      <c r="D15" s="76" t="e">
        <f>MaxTSVoltage^2*(BusCap/1000)/2*(1-EXP(-D14*2/(PrechargeRes*(BusCap/1000))))</f>
        <v>#N/A</v>
      </c>
      <c r="E15" s="16" t="s">
        <v>25</v>
      </c>
      <c r="G15" s="106" t="s">
        <v>266</v>
      </c>
      <c r="H15" s="106"/>
      <c r="I15" s="109"/>
      <c r="J15" s="73" t="e">
        <f>VLOOKUP(J12, ContactorsTable, 5, FALSE)</f>
        <v>#N/A</v>
      </c>
      <c r="K15" s="16"/>
      <c r="L15" s="49" t="e">
        <f>IF(J15&lt;&gt; "NC", ErrorText, OKText)</f>
        <v>#N/A</v>
      </c>
    </row>
    <row r="16" spans="1:20" x14ac:dyDescent="0.25">
      <c r="A16" s="106" t="s">
        <v>257</v>
      </c>
      <c r="B16" s="106"/>
      <c r="C16" s="109"/>
      <c r="D16" s="77" t="e">
        <f>D15/D14</f>
        <v>#N/A</v>
      </c>
      <c r="E16" s="16" t="s">
        <v>21</v>
      </c>
    </row>
    <row r="17" spans="1:8" x14ac:dyDescent="0.25">
      <c r="A17" s="106" t="s">
        <v>258</v>
      </c>
      <c r="B17" s="106"/>
      <c r="C17" s="109"/>
      <c r="D17" s="108"/>
      <c r="E17" s="108"/>
      <c r="F17" s="49" t="str">
        <f>IF(ISBLANK(D17), IncompleteText, OKText)</f>
        <v>BLANK</v>
      </c>
      <c r="G17" s="65"/>
      <c r="H17" s="65"/>
    </row>
    <row r="18" spans="1:8" ht="28.95" customHeight="1" x14ac:dyDescent="0.25">
      <c r="A18" s="186" t="s">
        <v>259</v>
      </c>
      <c r="B18" s="186"/>
      <c r="C18" s="187"/>
      <c r="D18" s="73" t="e">
        <f>VLOOKUP(D17, ContactorsTable, 2, FALSE)</f>
        <v>#N/A</v>
      </c>
      <c r="E18" s="25" t="s">
        <v>250</v>
      </c>
      <c r="F18" s="49" t="e">
        <f>IF(D18&lt;MaxTSVoltage, ErrorText, OKText)</f>
        <v>#N/A</v>
      </c>
    </row>
    <row r="19" spans="1:8" ht="29.4" customHeight="1" x14ac:dyDescent="0.25">
      <c r="A19" s="186" t="s">
        <v>260</v>
      </c>
      <c r="B19" s="186"/>
      <c r="C19" s="187"/>
      <c r="D19" s="73" t="e">
        <f>VLOOKUP(D17, ContactorsTable, 3, FALSE)</f>
        <v>#N/A</v>
      </c>
      <c r="E19" s="25" t="s">
        <v>2</v>
      </c>
      <c r="F19" s="49" t="e">
        <f>IF(D19&lt;D13, ErrorText, OKText)</f>
        <v>#N/A</v>
      </c>
    </row>
    <row r="21" spans="1:8" x14ac:dyDescent="0.25">
      <c r="A21" s="188" t="s">
        <v>210</v>
      </c>
      <c r="B21" s="188"/>
      <c r="C21" s="188"/>
      <c r="D21" s="188"/>
      <c r="E21" s="188"/>
      <c r="F21" s="188"/>
      <c r="G21" s="188"/>
    </row>
    <row r="22" spans="1:8" x14ac:dyDescent="0.25">
      <c r="A22" s="191"/>
      <c r="B22" s="124"/>
      <c r="C22" s="124"/>
      <c r="D22" s="124"/>
      <c r="E22" s="124"/>
      <c r="F22" s="124"/>
      <c r="G22" s="192"/>
    </row>
    <row r="23" spans="1:8" x14ac:dyDescent="0.25">
      <c r="A23" s="193"/>
      <c r="B23" s="125"/>
      <c r="C23" s="125"/>
      <c r="D23" s="125"/>
      <c r="E23" s="125"/>
      <c r="F23" s="125"/>
      <c r="G23" s="194"/>
    </row>
    <row r="24" spans="1:8" x14ac:dyDescent="0.25">
      <c r="A24" s="193"/>
      <c r="B24" s="125"/>
      <c r="C24" s="125"/>
      <c r="D24" s="125"/>
      <c r="E24" s="125"/>
      <c r="F24" s="125"/>
      <c r="G24" s="194"/>
    </row>
    <row r="25" spans="1:8" x14ac:dyDescent="0.25">
      <c r="A25" s="193"/>
      <c r="B25" s="125"/>
      <c r="C25" s="125"/>
      <c r="D25" s="125"/>
      <c r="E25" s="125"/>
      <c r="F25" s="125"/>
      <c r="G25" s="194"/>
    </row>
    <row r="26" spans="1:8" x14ac:dyDescent="0.25">
      <c r="A26" s="193"/>
      <c r="B26" s="125"/>
      <c r="C26" s="125"/>
      <c r="D26" s="125"/>
      <c r="E26" s="125"/>
      <c r="F26" s="125"/>
      <c r="G26" s="194"/>
    </row>
    <row r="27" spans="1:8" x14ac:dyDescent="0.25">
      <c r="A27" s="193"/>
      <c r="B27" s="125"/>
      <c r="C27" s="125"/>
      <c r="D27" s="125"/>
      <c r="E27" s="125"/>
      <c r="F27" s="125"/>
      <c r="G27" s="194"/>
    </row>
    <row r="28" spans="1:8" x14ac:dyDescent="0.25">
      <c r="A28" s="193"/>
      <c r="B28" s="125"/>
      <c r="C28" s="125"/>
      <c r="D28" s="125"/>
      <c r="E28" s="125"/>
      <c r="F28" s="125"/>
      <c r="G28" s="194"/>
    </row>
    <row r="29" spans="1:8" x14ac:dyDescent="0.25">
      <c r="A29" s="193"/>
      <c r="B29" s="125"/>
      <c r="C29" s="125"/>
      <c r="D29" s="125"/>
      <c r="E29" s="125"/>
      <c r="F29" s="125"/>
      <c r="G29" s="194"/>
    </row>
    <row r="30" spans="1:8" x14ac:dyDescent="0.25">
      <c r="A30" s="193"/>
      <c r="B30" s="125"/>
      <c r="C30" s="125"/>
      <c r="D30" s="125"/>
      <c r="E30" s="125"/>
      <c r="F30" s="125"/>
      <c r="G30" s="194"/>
    </row>
    <row r="31" spans="1:8" x14ac:dyDescent="0.25">
      <c r="A31" s="193"/>
      <c r="B31" s="125"/>
      <c r="C31" s="125"/>
      <c r="D31" s="125"/>
      <c r="E31" s="125"/>
      <c r="F31" s="125"/>
      <c r="G31" s="194"/>
    </row>
    <row r="32" spans="1:8" x14ac:dyDescent="0.25">
      <c r="A32" s="193"/>
      <c r="B32" s="125"/>
      <c r="C32" s="125"/>
      <c r="D32" s="125"/>
      <c r="E32" s="125"/>
      <c r="F32" s="125"/>
      <c r="G32" s="194"/>
    </row>
    <row r="33" spans="1:7" x14ac:dyDescent="0.25">
      <c r="A33" s="193"/>
      <c r="B33" s="125"/>
      <c r="C33" s="125"/>
      <c r="D33" s="125"/>
      <c r="E33" s="125"/>
      <c r="F33" s="125"/>
      <c r="G33" s="194"/>
    </row>
    <row r="34" spans="1:7" x14ac:dyDescent="0.25">
      <c r="A34" s="193"/>
      <c r="B34" s="125"/>
      <c r="C34" s="125"/>
      <c r="D34" s="125"/>
      <c r="E34" s="125"/>
      <c r="F34" s="125"/>
      <c r="G34" s="194"/>
    </row>
    <row r="35" spans="1:7" x14ac:dyDescent="0.25">
      <c r="A35" s="193"/>
      <c r="B35" s="125"/>
      <c r="C35" s="125"/>
      <c r="D35" s="125"/>
      <c r="E35" s="125"/>
      <c r="F35" s="125"/>
      <c r="G35" s="194"/>
    </row>
    <row r="36" spans="1:7" x14ac:dyDescent="0.25">
      <c r="A36" s="193"/>
      <c r="B36" s="125"/>
      <c r="C36" s="125"/>
      <c r="D36" s="125"/>
      <c r="E36" s="125"/>
      <c r="F36" s="125"/>
      <c r="G36" s="194"/>
    </row>
    <row r="37" spans="1:7" x14ac:dyDescent="0.25">
      <c r="A37" s="195"/>
      <c r="B37" s="196"/>
      <c r="C37" s="196"/>
      <c r="D37" s="196"/>
      <c r="E37" s="196"/>
      <c r="F37" s="196"/>
      <c r="G37" s="197"/>
    </row>
  </sheetData>
  <sheetProtection algorithmName="SHA-512" hashValue="Wxd+oxW0ike21/A6Acx6VCXPT3B5zr1vNyxPbU2bEfZyxKtfyIqhzT3ab7G9qcKKpZUoJUBK1W0G8OFVML9DMg==" saltValue="G5zPwi6mHN5No/usM7hd8Q==" spinCount="100000" sheet="1" scenarios="1"/>
  <mergeCells count="51">
    <mergeCell ref="M9:O9"/>
    <mergeCell ref="A21:G21"/>
    <mergeCell ref="A22:G37"/>
    <mergeCell ref="A15:C15"/>
    <mergeCell ref="A16:C16"/>
    <mergeCell ref="A17:C17"/>
    <mergeCell ref="D17:E17"/>
    <mergeCell ref="A18:C18"/>
    <mergeCell ref="A19:C19"/>
    <mergeCell ref="A12:C12"/>
    <mergeCell ref="G14:I14"/>
    <mergeCell ref="A13:C13"/>
    <mergeCell ref="G15:I15"/>
    <mergeCell ref="A14:C14"/>
    <mergeCell ref="G11:I11"/>
    <mergeCell ref="G12:I12"/>
    <mergeCell ref="J12:K12"/>
    <mergeCell ref="G13:I13"/>
    <mergeCell ref="A9:C9"/>
    <mergeCell ref="G8:I8"/>
    <mergeCell ref="A10:C10"/>
    <mergeCell ref="G9:I9"/>
    <mergeCell ref="A11:C11"/>
    <mergeCell ref="G10:I10"/>
    <mergeCell ref="A8:C8"/>
    <mergeCell ref="M8:O8"/>
    <mergeCell ref="S3:T8"/>
    <mergeCell ref="A4:C4"/>
    <mergeCell ref="G4:I4"/>
    <mergeCell ref="M4:O4"/>
    <mergeCell ref="P4:Q4"/>
    <mergeCell ref="A5:C5"/>
    <mergeCell ref="G5:I5"/>
    <mergeCell ref="M5:O5"/>
    <mergeCell ref="P5:Q5"/>
    <mergeCell ref="A6:C6"/>
    <mergeCell ref="G6:I6"/>
    <mergeCell ref="M6:O6"/>
    <mergeCell ref="A7:C7"/>
    <mergeCell ref="G7:I7"/>
    <mergeCell ref="M7:O7"/>
    <mergeCell ref="A2:E2"/>
    <mergeCell ref="G2:K2"/>
    <mergeCell ref="M2:Q2"/>
    <mergeCell ref="S2:T2"/>
    <mergeCell ref="A3:C3"/>
    <mergeCell ref="D3:E3"/>
    <mergeCell ref="G3:I3"/>
    <mergeCell ref="J3:K3"/>
    <mergeCell ref="M3:O3"/>
    <mergeCell ref="P3:Q3"/>
  </mergeCells>
  <phoneticPr fontId="12" type="noConversion"/>
  <dataValidations count="3">
    <dataValidation type="whole" allowBlank="1" showInputMessage="1" showErrorMessage="1" sqref="D4:D5 J4:J5" xr:uid="{1EC83EC7-F6FC-4A4B-ADDC-8A9BBFDB3146}">
      <formula1>1</formula1>
      <formula2>1000</formula2>
    </dataValidation>
    <dataValidation type="list" allowBlank="1" showInputMessage="1" showErrorMessage="1" sqref="D17:E17 J12:K12" xr:uid="{ADAAA8D4-6283-4EC5-A878-883B29BDF346}">
      <formula1>ContactorNames</formula1>
    </dataValidation>
    <dataValidation type="list" allowBlank="1" showInputMessage="1" showErrorMessage="1" sqref="D3:E3 J3:K3 P3:Q3" xr:uid="{F6C6CF0B-9D5D-4596-8A80-DB1D6B20F24D}">
      <formula1>ResistorsNames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794E9-261A-4938-BE66-1F6462247D50}">
  <sheetPr codeName="Sheet7"/>
  <dimension ref="A1:AC43"/>
  <sheetViews>
    <sheetView workbookViewId="0">
      <selection activeCell="A12" sqref="A12:H30"/>
    </sheetView>
  </sheetViews>
  <sheetFormatPr defaultRowHeight="13.8" x14ac:dyDescent="0.25"/>
  <cols>
    <col min="1" max="1" width="13" customWidth="1"/>
    <col min="3" max="3" width="11.44140625" customWidth="1"/>
    <col min="6" max="6" width="12.44140625" customWidth="1"/>
    <col min="15" max="15" width="21.88671875" customWidth="1"/>
    <col min="21" max="24" width="12.6640625" customWidth="1"/>
  </cols>
  <sheetData>
    <row r="1" spans="1:26" x14ac:dyDescent="0.25">
      <c r="A1" s="14" t="s">
        <v>72</v>
      </c>
      <c r="B1" s="49" t="str" cm="1">
        <f t="array" aca="1" ref="B1" ca="1">IF(SUM(COUNTIF(INDIRECT({"$F$2","$H$31","$Q$31","$Z$31"}), "="&amp;IncompleteText)), IncompleteText, IF(SUM(COUNTIF(INDIRECT({"$F$2","$H$31","$Q$31","$Z$31"}), "="&amp;ErrorText)), ErrorText, OKText))</f>
        <v>BLANK</v>
      </c>
    </row>
    <row r="2" spans="1:26" x14ac:dyDescent="0.25">
      <c r="A2" s="105" t="s">
        <v>269</v>
      </c>
      <c r="B2" s="105"/>
      <c r="C2" s="105"/>
      <c r="D2" s="105"/>
      <c r="E2" s="105"/>
      <c r="F2" s="49" t="str">
        <f>IF(COUNTIF(F3:F10, "="&amp;IncompleteText), IncompleteText, IF(COUNTIF(F3:F10, "="&amp;ErrorText), ErrorText, OKText))</f>
        <v>BLANK</v>
      </c>
      <c r="H2" s="105" t="s">
        <v>276</v>
      </c>
      <c r="I2" s="105"/>
      <c r="J2" s="105"/>
      <c r="K2" s="105"/>
      <c r="L2" s="105"/>
      <c r="M2" s="105"/>
      <c r="N2" s="105"/>
    </row>
    <row r="3" spans="1:26" x14ac:dyDescent="0.25">
      <c r="A3" s="106" t="s">
        <v>74</v>
      </c>
      <c r="B3" s="106"/>
      <c r="C3" s="109"/>
      <c r="D3" s="137"/>
      <c r="E3" s="138"/>
      <c r="F3" s="49" t="str">
        <f t="shared" ref="F3:F10" si="0">IF(ISBLANK(D3), IncompleteText, OKText)</f>
        <v>BLANK</v>
      </c>
      <c r="H3" s="124"/>
      <c r="I3" s="124"/>
      <c r="J3" s="124"/>
      <c r="K3" s="124"/>
      <c r="L3" s="124"/>
      <c r="M3" s="124"/>
      <c r="N3" s="124"/>
    </row>
    <row r="4" spans="1:26" x14ac:dyDescent="0.25">
      <c r="A4" s="106" t="s">
        <v>173</v>
      </c>
      <c r="B4" s="106"/>
      <c r="C4" s="106"/>
      <c r="D4" s="108"/>
      <c r="E4" s="108"/>
      <c r="F4" s="49" t="str">
        <f t="shared" si="0"/>
        <v>BLANK</v>
      </c>
      <c r="H4" s="125"/>
      <c r="I4" s="125"/>
      <c r="J4" s="125"/>
      <c r="K4" s="125"/>
      <c r="L4" s="125"/>
      <c r="M4" s="125"/>
      <c r="N4" s="125"/>
    </row>
    <row r="5" spans="1:26" x14ac:dyDescent="0.25">
      <c r="A5" s="106" t="s">
        <v>270</v>
      </c>
      <c r="B5" s="106"/>
      <c r="C5" s="109"/>
      <c r="D5" s="215"/>
      <c r="E5" s="215"/>
      <c r="F5" s="49" t="str">
        <f t="shared" si="0"/>
        <v>BLANK</v>
      </c>
      <c r="H5" s="125"/>
      <c r="I5" s="125"/>
      <c r="J5" s="125"/>
      <c r="K5" s="125"/>
      <c r="L5" s="125"/>
      <c r="M5" s="125"/>
      <c r="N5" s="125"/>
    </row>
    <row r="6" spans="1:26" x14ac:dyDescent="0.25">
      <c r="A6" s="106" t="s">
        <v>271</v>
      </c>
      <c r="B6" s="106"/>
      <c r="C6" s="109"/>
      <c r="D6" s="19"/>
      <c r="E6" s="16" t="s">
        <v>272</v>
      </c>
      <c r="F6" s="49" t="str">
        <f t="shared" si="0"/>
        <v>BLANK</v>
      </c>
      <c r="H6" s="125"/>
      <c r="I6" s="125"/>
      <c r="J6" s="125"/>
      <c r="K6" s="125"/>
      <c r="L6" s="125"/>
      <c r="M6" s="125"/>
      <c r="N6" s="125"/>
    </row>
    <row r="7" spans="1:26" x14ac:dyDescent="0.25">
      <c r="A7" s="106" t="s">
        <v>273</v>
      </c>
      <c r="B7" s="106"/>
      <c r="C7" s="109"/>
      <c r="D7" s="19"/>
      <c r="E7" s="16" t="s">
        <v>2</v>
      </c>
      <c r="F7" s="49" t="str">
        <f t="shared" si="0"/>
        <v>BLANK</v>
      </c>
      <c r="H7" s="125"/>
      <c r="I7" s="125"/>
      <c r="J7" s="125"/>
      <c r="K7" s="125"/>
      <c r="L7" s="125"/>
      <c r="M7" s="125"/>
      <c r="N7" s="125"/>
    </row>
    <row r="8" spans="1:26" x14ac:dyDescent="0.25">
      <c r="A8" s="106" t="s">
        <v>274</v>
      </c>
      <c r="B8" s="106"/>
      <c r="C8" s="109"/>
      <c r="D8" s="19"/>
      <c r="E8" s="16" t="s">
        <v>0</v>
      </c>
      <c r="F8" s="49" t="str">
        <f t="shared" si="0"/>
        <v>BLANK</v>
      </c>
      <c r="H8" s="125"/>
      <c r="I8" s="125"/>
      <c r="J8" s="125"/>
      <c r="K8" s="125"/>
      <c r="L8" s="125"/>
      <c r="M8" s="125"/>
      <c r="N8" s="125"/>
    </row>
    <row r="9" spans="1:26" x14ac:dyDescent="0.25">
      <c r="A9" s="106" t="s">
        <v>275</v>
      </c>
      <c r="B9" s="106"/>
      <c r="C9" s="109"/>
      <c r="D9" s="19"/>
      <c r="E9" s="16" t="s">
        <v>2</v>
      </c>
      <c r="F9" s="49" t="str">
        <f t="shared" si="0"/>
        <v>BLANK</v>
      </c>
      <c r="H9" s="125"/>
      <c r="I9" s="125"/>
      <c r="J9" s="125"/>
      <c r="K9" s="125"/>
      <c r="L9" s="125"/>
      <c r="M9" s="125"/>
      <c r="N9" s="125"/>
    </row>
    <row r="10" spans="1:26" x14ac:dyDescent="0.25">
      <c r="A10" s="106" t="s">
        <v>452</v>
      </c>
      <c r="B10" s="106"/>
      <c r="C10" s="109"/>
      <c r="D10" s="19"/>
      <c r="E10" s="16" t="s">
        <v>28</v>
      </c>
      <c r="F10" s="49" t="str">
        <f t="shared" si="0"/>
        <v>BLANK</v>
      </c>
      <c r="H10" s="125"/>
      <c r="I10" s="125"/>
      <c r="J10" s="125"/>
      <c r="K10" s="125"/>
      <c r="L10" s="125"/>
      <c r="M10" s="125"/>
      <c r="N10" s="125"/>
    </row>
    <row r="12" spans="1:26" x14ac:dyDescent="0.25">
      <c r="A12" s="115" t="s">
        <v>277</v>
      </c>
      <c r="B12" s="115"/>
      <c r="C12" s="115"/>
      <c r="D12" s="115"/>
      <c r="E12" s="115"/>
      <c r="F12" s="115"/>
      <c r="G12" s="115"/>
      <c r="H12" s="115"/>
      <c r="J12" s="216" t="s">
        <v>281</v>
      </c>
      <c r="K12" s="216"/>
      <c r="L12" s="216"/>
      <c r="M12" s="216"/>
      <c r="N12" s="216"/>
      <c r="O12" s="216"/>
      <c r="P12" s="216"/>
      <c r="Q12" s="216"/>
      <c r="S12" s="216" t="s">
        <v>288</v>
      </c>
      <c r="T12" s="216"/>
      <c r="U12" s="216"/>
      <c r="V12" s="216"/>
      <c r="W12" s="216"/>
      <c r="X12" s="216"/>
      <c r="Y12" s="216"/>
      <c r="Z12" s="216"/>
    </row>
    <row r="13" spans="1:26" x14ac:dyDescent="0.25">
      <c r="A13" s="115"/>
      <c r="B13" s="115"/>
      <c r="C13" s="115"/>
      <c r="D13" s="115"/>
      <c r="E13" s="115"/>
      <c r="F13" s="115"/>
      <c r="G13" s="115"/>
      <c r="H13" s="115"/>
      <c r="J13" s="216"/>
      <c r="K13" s="216"/>
      <c r="L13" s="216"/>
      <c r="M13" s="216"/>
      <c r="N13" s="216"/>
      <c r="O13" s="216"/>
      <c r="P13" s="216"/>
      <c r="Q13" s="216"/>
      <c r="S13" s="216"/>
      <c r="T13" s="216"/>
      <c r="U13" s="216"/>
      <c r="V13" s="216"/>
      <c r="W13" s="216"/>
      <c r="X13" s="216"/>
      <c r="Y13" s="216"/>
      <c r="Z13" s="216"/>
    </row>
    <row r="14" spans="1:26" x14ac:dyDescent="0.25">
      <c r="A14" s="115"/>
      <c r="B14" s="115"/>
      <c r="C14" s="115"/>
      <c r="D14" s="115"/>
      <c r="E14" s="115"/>
      <c r="F14" s="115"/>
      <c r="G14" s="115"/>
      <c r="H14" s="115"/>
      <c r="J14" s="216"/>
      <c r="K14" s="216"/>
      <c r="L14" s="216"/>
      <c r="M14" s="216"/>
      <c r="N14" s="216"/>
      <c r="O14" s="216"/>
      <c r="P14" s="216"/>
      <c r="Q14" s="216"/>
      <c r="S14" s="216"/>
      <c r="T14" s="216"/>
      <c r="U14" s="216"/>
      <c r="V14" s="216"/>
      <c r="W14" s="216"/>
      <c r="X14" s="216"/>
      <c r="Y14" s="216"/>
      <c r="Z14" s="216"/>
    </row>
    <row r="15" spans="1:26" x14ac:dyDescent="0.25">
      <c r="A15" s="115"/>
      <c r="B15" s="115"/>
      <c r="C15" s="115"/>
      <c r="D15" s="115"/>
      <c r="E15" s="115"/>
      <c r="F15" s="115"/>
      <c r="G15" s="115"/>
      <c r="H15" s="115"/>
      <c r="J15" s="216"/>
      <c r="K15" s="216"/>
      <c r="L15" s="216"/>
      <c r="M15" s="216"/>
      <c r="N15" s="216"/>
      <c r="O15" s="216"/>
      <c r="P15" s="216"/>
      <c r="Q15" s="216"/>
      <c r="S15" s="216"/>
      <c r="T15" s="216"/>
      <c r="U15" s="216"/>
      <c r="V15" s="216"/>
      <c r="W15" s="216"/>
      <c r="X15" s="216"/>
      <c r="Y15" s="216"/>
      <c r="Z15" s="216"/>
    </row>
    <row r="16" spans="1:26" x14ac:dyDescent="0.25">
      <c r="A16" s="115"/>
      <c r="B16" s="115"/>
      <c r="C16" s="115"/>
      <c r="D16" s="115"/>
      <c r="E16" s="115"/>
      <c r="F16" s="115"/>
      <c r="G16" s="115"/>
      <c r="H16" s="115"/>
      <c r="J16" s="216"/>
      <c r="K16" s="216"/>
      <c r="L16" s="216"/>
      <c r="M16" s="216"/>
      <c r="N16" s="216"/>
      <c r="O16" s="216"/>
      <c r="P16" s="216"/>
      <c r="Q16" s="216"/>
      <c r="S16" s="216"/>
      <c r="T16" s="216"/>
      <c r="U16" s="216"/>
      <c r="V16" s="216"/>
      <c r="W16" s="216"/>
      <c r="X16" s="216"/>
      <c r="Y16" s="216"/>
      <c r="Z16" s="216"/>
    </row>
    <row r="17" spans="1:26" x14ac:dyDescent="0.25">
      <c r="A17" s="115"/>
      <c r="B17" s="115"/>
      <c r="C17" s="115"/>
      <c r="D17" s="115"/>
      <c r="E17" s="115"/>
      <c r="F17" s="115"/>
      <c r="G17" s="115"/>
      <c r="H17" s="115"/>
      <c r="J17" s="216"/>
      <c r="K17" s="216"/>
      <c r="L17" s="216"/>
      <c r="M17" s="216"/>
      <c r="N17" s="216"/>
      <c r="O17" s="216"/>
      <c r="P17" s="216"/>
      <c r="Q17" s="216"/>
      <c r="S17" s="216"/>
      <c r="T17" s="216"/>
      <c r="U17" s="216"/>
      <c r="V17" s="216"/>
      <c r="W17" s="216"/>
      <c r="X17" s="216"/>
      <c r="Y17" s="216"/>
      <c r="Z17" s="216"/>
    </row>
    <row r="18" spans="1:26" x14ac:dyDescent="0.25">
      <c r="A18" s="115"/>
      <c r="B18" s="115"/>
      <c r="C18" s="115"/>
      <c r="D18" s="115"/>
      <c r="E18" s="115"/>
      <c r="F18" s="115"/>
      <c r="G18" s="115"/>
      <c r="H18" s="115"/>
      <c r="J18" s="216"/>
      <c r="K18" s="216"/>
      <c r="L18" s="216"/>
      <c r="M18" s="216"/>
      <c r="N18" s="216"/>
      <c r="O18" s="216"/>
      <c r="P18" s="216"/>
      <c r="Q18" s="216"/>
      <c r="S18" s="216"/>
      <c r="T18" s="216"/>
      <c r="U18" s="216"/>
      <c r="V18" s="216"/>
      <c r="W18" s="216"/>
      <c r="X18" s="216"/>
      <c r="Y18" s="216"/>
      <c r="Z18" s="216"/>
    </row>
    <row r="19" spans="1:26" x14ac:dyDescent="0.25">
      <c r="A19" s="115"/>
      <c r="B19" s="115"/>
      <c r="C19" s="115"/>
      <c r="D19" s="115"/>
      <c r="E19" s="115"/>
      <c r="F19" s="115"/>
      <c r="G19" s="115"/>
      <c r="H19" s="115"/>
      <c r="J19" s="216"/>
      <c r="K19" s="216"/>
      <c r="L19" s="216"/>
      <c r="M19" s="216"/>
      <c r="N19" s="216"/>
      <c r="O19" s="216"/>
      <c r="P19" s="216"/>
      <c r="Q19" s="216"/>
      <c r="S19" s="216"/>
      <c r="T19" s="216"/>
      <c r="U19" s="216"/>
      <c r="V19" s="216"/>
      <c r="W19" s="216"/>
      <c r="X19" s="216"/>
      <c r="Y19" s="216"/>
      <c r="Z19" s="216"/>
    </row>
    <row r="20" spans="1:26" x14ac:dyDescent="0.25">
      <c r="A20" s="115"/>
      <c r="B20" s="115"/>
      <c r="C20" s="115"/>
      <c r="D20" s="115"/>
      <c r="E20" s="115"/>
      <c r="F20" s="115"/>
      <c r="G20" s="115"/>
      <c r="H20" s="115"/>
      <c r="J20" s="216"/>
      <c r="K20" s="216"/>
      <c r="L20" s="216"/>
      <c r="M20" s="216"/>
      <c r="N20" s="216"/>
      <c r="O20" s="216"/>
      <c r="P20" s="216"/>
      <c r="Q20" s="216"/>
      <c r="S20" s="216"/>
      <c r="T20" s="216"/>
      <c r="U20" s="216"/>
      <c r="V20" s="216"/>
      <c r="W20" s="216"/>
      <c r="X20" s="216"/>
      <c r="Y20" s="216"/>
      <c r="Z20" s="216"/>
    </row>
    <row r="21" spans="1:26" x14ac:dyDescent="0.25">
      <c r="A21" s="115"/>
      <c r="B21" s="115"/>
      <c r="C21" s="115"/>
      <c r="D21" s="115"/>
      <c r="E21" s="115"/>
      <c r="F21" s="115"/>
      <c r="G21" s="115"/>
      <c r="H21" s="115"/>
      <c r="J21" s="216"/>
      <c r="K21" s="216"/>
      <c r="L21" s="216"/>
      <c r="M21" s="216"/>
      <c r="N21" s="216"/>
      <c r="O21" s="216"/>
      <c r="P21" s="216"/>
      <c r="Q21" s="216"/>
      <c r="S21" s="216"/>
      <c r="T21" s="216"/>
      <c r="U21" s="216"/>
      <c r="V21" s="216"/>
      <c r="W21" s="216"/>
      <c r="X21" s="216"/>
      <c r="Y21" s="216"/>
      <c r="Z21" s="216"/>
    </row>
    <row r="22" spans="1:26" x14ac:dyDescent="0.25">
      <c r="A22" s="115"/>
      <c r="B22" s="115"/>
      <c r="C22" s="115"/>
      <c r="D22" s="115"/>
      <c r="E22" s="115"/>
      <c r="F22" s="115"/>
      <c r="G22" s="115"/>
      <c r="H22" s="115"/>
      <c r="J22" s="216"/>
      <c r="K22" s="216"/>
      <c r="L22" s="216"/>
      <c r="M22" s="216"/>
      <c r="N22" s="216"/>
      <c r="O22" s="216"/>
      <c r="P22" s="216"/>
      <c r="Q22" s="216"/>
      <c r="S22" s="216"/>
      <c r="T22" s="216"/>
      <c r="U22" s="216"/>
      <c r="V22" s="216"/>
      <c r="W22" s="216"/>
      <c r="X22" s="216"/>
      <c r="Y22" s="216"/>
      <c r="Z22" s="216"/>
    </row>
    <row r="23" spans="1:26" x14ac:dyDescent="0.25">
      <c r="A23" s="115"/>
      <c r="B23" s="115"/>
      <c r="C23" s="115"/>
      <c r="D23" s="115"/>
      <c r="E23" s="115"/>
      <c r="F23" s="115"/>
      <c r="G23" s="115"/>
      <c r="H23" s="115"/>
      <c r="J23" s="216"/>
      <c r="K23" s="216"/>
      <c r="L23" s="216"/>
      <c r="M23" s="216"/>
      <c r="N23" s="216"/>
      <c r="O23" s="216"/>
      <c r="P23" s="216"/>
      <c r="Q23" s="216"/>
      <c r="S23" s="216"/>
      <c r="T23" s="216"/>
      <c r="U23" s="216"/>
      <c r="V23" s="216"/>
      <c r="W23" s="216"/>
      <c r="X23" s="216"/>
      <c r="Y23" s="216"/>
      <c r="Z23" s="216"/>
    </row>
    <row r="24" spans="1:26" x14ac:dyDescent="0.25">
      <c r="A24" s="115"/>
      <c r="B24" s="115"/>
      <c r="C24" s="115"/>
      <c r="D24" s="115"/>
      <c r="E24" s="115"/>
      <c r="F24" s="115"/>
      <c r="G24" s="115"/>
      <c r="H24" s="115"/>
      <c r="J24" s="216"/>
      <c r="K24" s="216"/>
      <c r="L24" s="216"/>
      <c r="M24" s="216"/>
      <c r="N24" s="216"/>
      <c r="O24" s="216"/>
      <c r="P24" s="216"/>
      <c r="Q24" s="216"/>
      <c r="S24" s="216"/>
      <c r="T24" s="216"/>
      <c r="U24" s="216"/>
      <c r="V24" s="216"/>
      <c r="W24" s="216"/>
      <c r="X24" s="216"/>
      <c r="Y24" s="216"/>
      <c r="Z24" s="216"/>
    </row>
    <row r="25" spans="1:26" x14ac:dyDescent="0.25">
      <c r="A25" s="115"/>
      <c r="B25" s="115"/>
      <c r="C25" s="115"/>
      <c r="D25" s="115"/>
      <c r="E25" s="115"/>
      <c r="F25" s="115"/>
      <c r="G25" s="115"/>
      <c r="H25" s="115"/>
      <c r="J25" s="216"/>
      <c r="K25" s="216"/>
      <c r="L25" s="216"/>
      <c r="M25" s="216"/>
      <c r="N25" s="216"/>
      <c r="O25" s="216"/>
      <c r="P25" s="216"/>
      <c r="Q25" s="216"/>
      <c r="S25" s="216"/>
      <c r="T25" s="216"/>
      <c r="U25" s="216"/>
      <c r="V25" s="216"/>
      <c r="W25" s="216"/>
      <c r="X25" s="216"/>
      <c r="Y25" s="216"/>
      <c r="Z25" s="216"/>
    </row>
    <row r="26" spans="1:26" x14ac:dyDescent="0.25">
      <c r="A26" s="115"/>
      <c r="B26" s="115"/>
      <c r="C26" s="115"/>
      <c r="D26" s="115"/>
      <c r="E26" s="115"/>
      <c r="F26" s="115"/>
      <c r="G26" s="115"/>
      <c r="H26" s="115"/>
      <c r="J26" s="216"/>
      <c r="K26" s="216"/>
      <c r="L26" s="216"/>
      <c r="M26" s="216"/>
      <c r="N26" s="216"/>
      <c r="O26" s="216"/>
      <c r="P26" s="216"/>
      <c r="Q26" s="216"/>
      <c r="S26" s="216"/>
      <c r="T26" s="216"/>
      <c r="U26" s="216"/>
      <c r="V26" s="216"/>
      <c r="W26" s="216"/>
      <c r="X26" s="216"/>
      <c r="Y26" s="216"/>
      <c r="Z26" s="216"/>
    </row>
    <row r="27" spans="1:26" x14ac:dyDescent="0.25">
      <c r="A27" s="115"/>
      <c r="B27" s="115"/>
      <c r="C27" s="115"/>
      <c r="D27" s="115"/>
      <c r="E27" s="115"/>
      <c r="F27" s="115"/>
      <c r="G27" s="115"/>
      <c r="H27" s="115"/>
      <c r="J27" s="216"/>
      <c r="K27" s="216"/>
      <c r="L27" s="216"/>
      <c r="M27" s="216"/>
      <c r="N27" s="216"/>
      <c r="O27" s="216"/>
      <c r="P27" s="216"/>
      <c r="Q27" s="216"/>
      <c r="S27" s="216"/>
      <c r="T27" s="216"/>
      <c r="U27" s="216"/>
      <c r="V27" s="216"/>
      <c r="W27" s="216"/>
      <c r="X27" s="216"/>
      <c r="Y27" s="216"/>
      <c r="Z27" s="216"/>
    </row>
    <row r="28" spans="1:26" x14ac:dyDescent="0.25">
      <c r="A28" s="115"/>
      <c r="B28" s="115"/>
      <c r="C28" s="115"/>
      <c r="D28" s="115"/>
      <c r="E28" s="115"/>
      <c r="F28" s="115"/>
      <c r="G28" s="115"/>
      <c r="H28" s="115"/>
      <c r="J28" s="216"/>
      <c r="K28" s="216"/>
      <c r="L28" s="216"/>
      <c r="M28" s="216"/>
      <c r="N28" s="216"/>
      <c r="O28" s="216"/>
      <c r="P28" s="216"/>
      <c r="Q28" s="216"/>
      <c r="S28" s="216"/>
      <c r="T28" s="216"/>
      <c r="U28" s="216"/>
      <c r="V28" s="216"/>
      <c r="W28" s="216"/>
      <c r="X28" s="216"/>
      <c r="Y28" s="216"/>
      <c r="Z28" s="216"/>
    </row>
    <row r="29" spans="1:26" x14ac:dyDescent="0.25">
      <c r="A29" s="115"/>
      <c r="B29" s="115"/>
      <c r="C29" s="115"/>
      <c r="D29" s="115"/>
      <c r="E29" s="115"/>
      <c r="F29" s="115"/>
      <c r="G29" s="115"/>
      <c r="H29" s="115"/>
      <c r="J29" s="216"/>
      <c r="K29" s="216"/>
      <c r="L29" s="216"/>
      <c r="M29" s="216"/>
      <c r="N29" s="216"/>
      <c r="O29" s="216"/>
      <c r="P29" s="216"/>
      <c r="Q29" s="216"/>
      <c r="S29" s="216"/>
      <c r="T29" s="216"/>
      <c r="U29" s="216"/>
      <c r="V29" s="216"/>
      <c r="W29" s="216"/>
      <c r="X29" s="216"/>
      <c r="Y29" s="216"/>
      <c r="Z29" s="216"/>
    </row>
    <row r="30" spans="1:26" x14ac:dyDescent="0.25">
      <c r="A30" s="115"/>
      <c r="B30" s="115"/>
      <c r="C30" s="115"/>
      <c r="D30" s="115"/>
      <c r="E30" s="115"/>
      <c r="F30" s="115"/>
      <c r="G30" s="115"/>
      <c r="H30" s="115"/>
      <c r="J30" s="216"/>
      <c r="K30" s="216"/>
      <c r="L30" s="216"/>
      <c r="M30" s="216"/>
      <c r="N30" s="216"/>
      <c r="O30" s="216"/>
      <c r="P30" s="216"/>
      <c r="Q30" s="216"/>
      <c r="S30" s="216"/>
      <c r="T30" s="216"/>
      <c r="U30" s="216"/>
      <c r="V30" s="216"/>
      <c r="W30" s="216"/>
      <c r="X30" s="216"/>
      <c r="Y30" s="216"/>
      <c r="Z30" s="216"/>
    </row>
    <row r="31" spans="1:26" x14ac:dyDescent="0.25">
      <c r="A31" s="105" t="s">
        <v>277</v>
      </c>
      <c r="B31" s="105"/>
      <c r="C31" s="105"/>
      <c r="D31" s="105"/>
      <c r="E31" s="105"/>
      <c r="F31" s="105"/>
      <c r="G31" s="105"/>
      <c r="H31" s="117" t="str">
        <f>IF(COUNTIF(H33:H38, "="&amp;IncompleteText), IncompleteText, IF(COUNTIF(H33:H38, "="&amp;ErrorText), ErrorText, OKText))</f>
        <v>BLANK</v>
      </c>
      <c r="J31" s="105" t="s">
        <v>281</v>
      </c>
      <c r="K31" s="105"/>
      <c r="L31" s="105"/>
      <c r="M31" s="105"/>
      <c r="N31" s="105"/>
      <c r="O31" s="105"/>
      <c r="P31" s="105"/>
      <c r="Q31" s="117" t="str">
        <f>IF(COUNTIF(Q33:Q38, "="&amp;IncompleteText), IncompleteText, IF(COUNTIF(Q33:Q38, "="&amp;ErrorText), ErrorText, OKText))</f>
        <v>BLANK</v>
      </c>
      <c r="S31" s="105" t="s">
        <v>288</v>
      </c>
      <c r="T31" s="105"/>
      <c r="U31" s="105"/>
      <c r="V31" s="105"/>
      <c r="W31" s="105"/>
      <c r="X31" s="105"/>
      <c r="Y31" s="105"/>
      <c r="Z31" s="117" t="str">
        <f>IF(COUNTIF(Z33:Z37, "="&amp;IncompleteText), IncompleteText, IF(COUNTIF(Z33:Z37, "="&amp;ErrorText), ErrorText, OKText))</f>
        <v>BLANK</v>
      </c>
    </row>
    <row r="32" spans="1:26" x14ac:dyDescent="0.25">
      <c r="A32" s="217" t="s">
        <v>232</v>
      </c>
      <c r="B32" s="214"/>
      <c r="C32" s="17"/>
      <c r="D32" s="17"/>
      <c r="E32" s="17"/>
      <c r="F32" s="17"/>
      <c r="G32" s="17"/>
      <c r="H32" s="96"/>
      <c r="J32" s="217" t="s">
        <v>232</v>
      </c>
      <c r="K32" s="214"/>
      <c r="L32" s="17"/>
      <c r="M32" s="17"/>
      <c r="N32" s="17"/>
      <c r="O32" s="17"/>
      <c r="P32" s="17"/>
      <c r="Q32" s="96"/>
      <c r="S32" s="217" t="s">
        <v>232</v>
      </c>
      <c r="T32" s="214"/>
      <c r="U32" s="17"/>
      <c r="V32" s="17"/>
      <c r="W32" s="17"/>
      <c r="X32" s="17"/>
      <c r="Y32" s="17"/>
      <c r="Z32" s="96"/>
    </row>
    <row r="33" spans="1:29" x14ac:dyDescent="0.25">
      <c r="A33" s="133"/>
      <c r="B33" s="133"/>
      <c r="C33" s="106" t="s">
        <v>278</v>
      </c>
      <c r="D33" s="106"/>
      <c r="E33" s="106"/>
      <c r="F33" s="109"/>
      <c r="G33" s="5"/>
      <c r="H33" s="49" t="str">
        <f t="shared" ref="H33:H38" si="1">IF(ISBLANK(G33),IncompleteText, IF(G33, OKText, ErrorText))</f>
        <v>BLANK</v>
      </c>
      <c r="J33" s="133"/>
      <c r="K33" s="133"/>
      <c r="L33" s="106" t="s">
        <v>282</v>
      </c>
      <c r="M33" s="106"/>
      <c r="N33" s="106"/>
      <c r="O33" s="109"/>
      <c r="P33" s="5"/>
      <c r="Q33" s="49" t="str">
        <f t="shared" ref="Q33:Q38" si="2">IF(ISBLANK(P33),IncompleteText, IF(P33, OKText, ErrorText))</f>
        <v>BLANK</v>
      </c>
      <c r="S33" s="121" t="s">
        <v>519</v>
      </c>
      <c r="T33" s="121"/>
      <c r="U33" s="106" t="s">
        <v>289</v>
      </c>
      <c r="V33" s="106"/>
      <c r="W33" s="106"/>
      <c r="X33" s="109"/>
      <c r="Y33" s="5"/>
      <c r="Z33" s="49" t="str">
        <f t="shared" ref="Z33:Z37" si="3">IF(ISBLANK(Y33),IncompleteText, IF(Y33, OKText, ErrorText))</f>
        <v>BLANK</v>
      </c>
    </row>
    <row r="34" spans="1:29" x14ac:dyDescent="0.25">
      <c r="A34" s="133"/>
      <c r="B34" s="133"/>
      <c r="C34" s="106" t="s">
        <v>279</v>
      </c>
      <c r="D34" s="106"/>
      <c r="E34" s="106"/>
      <c r="F34" s="109"/>
      <c r="G34" s="5"/>
      <c r="H34" s="49" t="str">
        <f t="shared" si="1"/>
        <v>BLANK</v>
      </c>
      <c r="J34" s="133"/>
      <c r="K34" s="133"/>
      <c r="L34" s="106" t="s">
        <v>283</v>
      </c>
      <c r="M34" s="106"/>
      <c r="N34" s="106"/>
      <c r="O34" s="109"/>
      <c r="P34" s="5"/>
      <c r="Q34" s="49" t="str">
        <f t="shared" si="2"/>
        <v>BLANK</v>
      </c>
      <c r="S34" s="121" t="s">
        <v>521</v>
      </c>
      <c r="T34" s="121"/>
      <c r="U34" s="106" t="s">
        <v>520</v>
      </c>
      <c r="V34" s="106"/>
      <c r="W34" s="106"/>
      <c r="X34" s="109"/>
      <c r="Y34" s="61"/>
      <c r="Z34" s="63" t="str">
        <f t="shared" si="3"/>
        <v>BLANK</v>
      </c>
    </row>
    <row r="35" spans="1:29" x14ac:dyDescent="0.25">
      <c r="A35" s="133"/>
      <c r="B35" s="133"/>
      <c r="C35" s="106" t="s">
        <v>280</v>
      </c>
      <c r="D35" s="106"/>
      <c r="E35" s="106"/>
      <c r="F35" s="109"/>
      <c r="G35" s="5"/>
      <c r="H35" s="49" t="str">
        <f t="shared" si="1"/>
        <v>BLANK</v>
      </c>
      <c r="J35" s="133"/>
      <c r="K35" s="133"/>
      <c r="L35" s="106" t="s">
        <v>284</v>
      </c>
      <c r="M35" s="106"/>
      <c r="N35" s="106"/>
      <c r="O35" s="109"/>
      <c r="P35" s="5"/>
      <c r="Q35" s="49" t="str">
        <f t="shared" si="2"/>
        <v>BLANK</v>
      </c>
      <c r="S35" s="121" t="s">
        <v>523</v>
      </c>
      <c r="T35" s="121"/>
      <c r="U35" s="106" t="s">
        <v>522</v>
      </c>
      <c r="V35" s="106"/>
      <c r="W35" s="106"/>
      <c r="X35" s="109"/>
      <c r="Y35" s="61"/>
      <c r="Z35" s="63" t="str">
        <f t="shared" si="3"/>
        <v>BLANK</v>
      </c>
    </row>
    <row r="36" spans="1:29" x14ac:dyDescent="0.25">
      <c r="A36" s="133"/>
      <c r="B36" s="133"/>
      <c r="C36" s="106" t="s">
        <v>29</v>
      </c>
      <c r="D36" s="106"/>
      <c r="E36" s="106"/>
      <c r="F36" s="109"/>
      <c r="G36" s="5"/>
      <c r="H36" s="49" t="str">
        <f t="shared" si="1"/>
        <v>BLANK</v>
      </c>
      <c r="J36" s="133"/>
      <c r="K36" s="133"/>
      <c r="L36" s="106" t="s">
        <v>285</v>
      </c>
      <c r="M36" s="106"/>
      <c r="N36" s="106"/>
      <c r="O36" s="109"/>
      <c r="P36" s="5"/>
      <c r="Q36" s="49" t="str">
        <f t="shared" si="2"/>
        <v>BLANK</v>
      </c>
      <c r="S36" s="121" t="s">
        <v>524</v>
      </c>
      <c r="T36" s="121"/>
      <c r="U36" s="106" t="s">
        <v>290</v>
      </c>
      <c r="V36" s="106"/>
      <c r="W36" s="106"/>
      <c r="X36" s="109"/>
      <c r="Y36" s="61"/>
      <c r="Z36" s="63" t="str">
        <f t="shared" si="3"/>
        <v>BLANK</v>
      </c>
    </row>
    <row r="37" spans="1:29" x14ac:dyDescent="0.25">
      <c r="A37" s="133"/>
      <c r="B37" s="133"/>
      <c r="C37" s="106" t="s">
        <v>30</v>
      </c>
      <c r="D37" s="106"/>
      <c r="E37" s="106"/>
      <c r="F37" s="109"/>
      <c r="G37" s="5"/>
      <c r="H37" s="49" t="str">
        <f t="shared" si="1"/>
        <v>BLANK</v>
      </c>
      <c r="J37" s="133"/>
      <c r="K37" s="133"/>
      <c r="L37" s="106" t="s">
        <v>286</v>
      </c>
      <c r="M37" s="106"/>
      <c r="N37" s="106"/>
      <c r="O37" s="109"/>
      <c r="P37" s="5"/>
      <c r="Q37" s="49" t="str">
        <f t="shared" si="2"/>
        <v>BLANK</v>
      </c>
      <c r="S37" s="121" t="s">
        <v>525</v>
      </c>
      <c r="T37" s="121"/>
      <c r="U37" s="106" t="s">
        <v>526</v>
      </c>
      <c r="V37" s="106"/>
      <c r="W37" s="106"/>
      <c r="X37" s="109"/>
      <c r="Y37" s="61"/>
      <c r="Z37" s="63" t="str">
        <f t="shared" si="3"/>
        <v>BLANK</v>
      </c>
    </row>
    <row r="38" spans="1:29" ht="13.2" customHeight="1" x14ac:dyDescent="0.25">
      <c r="A38" s="133"/>
      <c r="B38" s="133"/>
      <c r="C38" s="106" t="s">
        <v>7</v>
      </c>
      <c r="D38" s="106"/>
      <c r="E38" s="106"/>
      <c r="F38" s="109"/>
      <c r="G38" s="5"/>
      <c r="H38" s="49" t="str">
        <f t="shared" si="1"/>
        <v>BLANK</v>
      </c>
      <c r="J38" s="133"/>
      <c r="K38" s="133"/>
      <c r="L38" s="106" t="s">
        <v>287</v>
      </c>
      <c r="M38" s="106"/>
      <c r="N38" s="106"/>
      <c r="O38" s="109"/>
      <c r="P38" s="5"/>
      <c r="Q38" s="49" t="str">
        <f t="shared" si="2"/>
        <v>BLANK</v>
      </c>
      <c r="S38" s="188" t="s">
        <v>210</v>
      </c>
      <c r="T38" s="188"/>
      <c r="U38" s="188"/>
      <c r="V38" s="188"/>
      <c r="W38" s="188"/>
      <c r="X38" s="188"/>
      <c r="Y38" s="188"/>
    </row>
    <row r="39" spans="1:29" x14ac:dyDescent="0.25">
      <c r="A39" s="105" t="s">
        <v>210</v>
      </c>
      <c r="B39" s="105"/>
      <c r="C39" s="105"/>
      <c r="D39" s="105"/>
      <c r="E39" s="105"/>
      <c r="F39" s="105"/>
      <c r="G39" s="105"/>
      <c r="J39" s="105" t="s">
        <v>210</v>
      </c>
      <c r="K39" s="105"/>
      <c r="L39" s="105"/>
      <c r="M39" s="105"/>
      <c r="N39" s="105"/>
      <c r="O39" s="105"/>
      <c r="P39" s="105"/>
      <c r="S39" s="191"/>
      <c r="T39" s="124"/>
      <c r="U39" s="124"/>
      <c r="V39" s="124"/>
      <c r="W39" s="124"/>
      <c r="X39" s="124"/>
      <c r="Y39" s="192"/>
    </row>
    <row r="40" spans="1:29" x14ac:dyDescent="0.25">
      <c r="A40" s="199"/>
      <c r="B40" s="199"/>
      <c r="C40" s="199"/>
      <c r="D40" s="199"/>
      <c r="E40" s="199"/>
      <c r="F40" s="199"/>
      <c r="G40" s="199"/>
      <c r="J40" s="199"/>
      <c r="K40" s="199"/>
      <c r="L40" s="199"/>
      <c r="M40" s="199"/>
      <c r="N40" s="199"/>
      <c r="O40" s="199"/>
      <c r="P40" s="199"/>
      <c r="S40" s="193"/>
      <c r="T40" s="125"/>
      <c r="U40" s="125"/>
      <c r="V40" s="125"/>
      <c r="W40" s="125"/>
      <c r="X40" s="125"/>
      <c r="Y40" s="194"/>
      <c r="AA40" s="60"/>
      <c r="AB40" s="60"/>
      <c r="AC40" s="60"/>
    </row>
    <row r="41" spans="1:29" x14ac:dyDescent="0.25">
      <c r="A41" s="199"/>
      <c r="B41" s="199"/>
      <c r="C41" s="199"/>
      <c r="D41" s="199"/>
      <c r="E41" s="199"/>
      <c r="F41" s="199"/>
      <c r="G41" s="199"/>
      <c r="J41" s="199"/>
      <c r="K41" s="199"/>
      <c r="L41" s="199"/>
      <c r="M41" s="199"/>
      <c r="N41" s="199"/>
      <c r="O41" s="199"/>
      <c r="P41" s="199"/>
      <c r="S41" s="193"/>
      <c r="T41" s="125"/>
      <c r="U41" s="125"/>
      <c r="V41" s="125"/>
      <c r="W41" s="125"/>
      <c r="X41" s="125"/>
      <c r="Y41" s="194"/>
    </row>
    <row r="42" spans="1:29" x14ac:dyDescent="0.25">
      <c r="A42" s="199"/>
      <c r="B42" s="199"/>
      <c r="C42" s="199"/>
      <c r="D42" s="199"/>
      <c r="E42" s="199"/>
      <c r="F42" s="199"/>
      <c r="G42" s="199"/>
      <c r="J42" s="199"/>
      <c r="K42" s="199"/>
      <c r="L42" s="199"/>
      <c r="M42" s="199"/>
      <c r="N42" s="199"/>
      <c r="O42" s="199"/>
      <c r="P42" s="199"/>
      <c r="S42" s="195"/>
      <c r="T42" s="196"/>
      <c r="U42" s="196"/>
      <c r="V42" s="196"/>
      <c r="W42" s="196"/>
      <c r="X42" s="196"/>
      <c r="Y42" s="197"/>
    </row>
    <row r="43" spans="1:29" x14ac:dyDescent="0.25">
      <c r="A43" s="199"/>
      <c r="B43" s="199"/>
      <c r="C43" s="199"/>
      <c r="D43" s="199"/>
      <c r="E43" s="199"/>
      <c r="F43" s="199"/>
      <c r="G43" s="199"/>
      <c r="J43" s="199"/>
      <c r="K43" s="199"/>
      <c r="L43" s="199"/>
      <c r="M43" s="199"/>
      <c r="N43" s="199"/>
      <c r="O43" s="199"/>
      <c r="P43" s="199"/>
      <c r="W43" s="60"/>
      <c r="X43" s="60"/>
      <c r="Y43" s="60"/>
      <c r="Z43" s="60"/>
    </row>
  </sheetData>
  <sheetProtection algorithmName="SHA-512" hashValue="iW+gDxz6wAW0GVoREiNgdAhyQlM9mLy/NJlzRSJZt9cB34YQNh1K44IoKpVobS08nwv4qB1YURUYhbG6xm5WWA==" saltValue="1ZBhDKCEBNQyorQkFJpgzg==" spinCount="100000" sheet="1" scenarios="1" insertHyperlinks="0"/>
  <mergeCells count="66">
    <mergeCell ref="S38:Y38"/>
    <mergeCell ref="S39:Y42"/>
    <mergeCell ref="S33:T33"/>
    <mergeCell ref="U33:X33"/>
    <mergeCell ref="S34:T34"/>
    <mergeCell ref="U34:X34"/>
    <mergeCell ref="S35:T35"/>
    <mergeCell ref="U35:X35"/>
    <mergeCell ref="S36:T36"/>
    <mergeCell ref="U36:X36"/>
    <mergeCell ref="S37:T37"/>
    <mergeCell ref="U37:X37"/>
    <mergeCell ref="A39:G39"/>
    <mergeCell ref="J39:P39"/>
    <mergeCell ref="A40:G43"/>
    <mergeCell ref="J40:P43"/>
    <mergeCell ref="S12:Z30"/>
    <mergeCell ref="S31:Y31"/>
    <mergeCell ref="Z31:Z32"/>
    <mergeCell ref="S32:T32"/>
    <mergeCell ref="A37:B37"/>
    <mergeCell ref="C37:F37"/>
    <mergeCell ref="J37:K37"/>
    <mergeCell ref="L37:O37"/>
    <mergeCell ref="A38:B38"/>
    <mergeCell ref="C38:F38"/>
    <mergeCell ref="J38:K38"/>
    <mergeCell ref="L38:O38"/>
    <mergeCell ref="A35:B35"/>
    <mergeCell ref="C35:F35"/>
    <mergeCell ref="J35:K35"/>
    <mergeCell ref="L35:O35"/>
    <mergeCell ref="A36:B36"/>
    <mergeCell ref="C36:F36"/>
    <mergeCell ref="J36:K36"/>
    <mergeCell ref="L36:O36"/>
    <mergeCell ref="A33:B33"/>
    <mergeCell ref="C33:F33"/>
    <mergeCell ref="J33:K33"/>
    <mergeCell ref="L33:O33"/>
    <mergeCell ref="A34:B34"/>
    <mergeCell ref="C34:F34"/>
    <mergeCell ref="J34:K34"/>
    <mergeCell ref="L34:O34"/>
    <mergeCell ref="A12:H30"/>
    <mergeCell ref="J12:Q30"/>
    <mergeCell ref="A31:G31"/>
    <mergeCell ref="H31:H32"/>
    <mergeCell ref="J31:P31"/>
    <mergeCell ref="Q31:Q32"/>
    <mergeCell ref="A32:B32"/>
    <mergeCell ref="J32:K32"/>
    <mergeCell ref="H2:N2"/>
    <mergeCell ref="A3:C3"/>
    <mergeCell ref="D3:E3"/>
    <mergeCell ref="H3:N10"/>
    <mergeCell ref="A4:C4"/>
    <mergeCell ref="D4:E4"/>
    <mergeCell ref="A5:C5"/>
    <mergeCell ref="D5:E5"/>
    <mergeCell ref="A6:C6"/>
    <mergeCell ref="A7:C7"/>
    <mergeCell ref="A8:C8"/>
    <mergeCell ref="A9:C9"/>
    <mergeCell ref="A10:C10"/>
    <mergeCell ref="A2:E2"/>
  </mergeCells>
  <phoneticPr fontId="12" type="noConversion"/>
  <dataValidations count="1">
    <dataValidation type="list" allowBlank="1" showInputMessage="1" showErrorMessage="1" sqref="G33:G38 P33:P38 Y33:Y37" xr:uid="{B6F81BB3-C7CF-4643-B481-BAF552FD3059}">
      <formula1>"TRUE,FALSE"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8E9DC-31B7-427A-8D26-E1677A834C35}">
  <sheetPr codeName="Sheet8"/>
  <dimension ref="A1:BG100"/>
  <sheetViews>
    <sheetView zoomScale="85" zoomScaleNormal="85" workbookViewId="0">
      <selection activeCell="AK78" sqref="AK78:AS100"/>
    </sheetView>
  </sheetViews>
  <sheetFormatPr defaultRowHeight="13.8" x14ac:dyDescent="0.25"/>
  <cols>
    <col min="1" max="1" width="12.44140625" customWidth="1"/>
    <col min="3" max="3" width="9" customWidth="1"/>
    <col min="8" max="9" width="13.44140625" customWidth="1"/>
    <col min="10" max="10" width="18.21875" customWidth="1"/>
    <col min="25" max="33" width="12" customWidth="1"/>
    <col min="46" max="46" width="27.6640625" customWidth="1"/>
  </cols>
  <sheetData>
    <row r="1" spans="1:59" x14ac:dyDescent="0.25">
      <c r="A1" s="18" t="s">
        <v>72</v>
      </c>
      <c r="B1" s="49" t="str">
        <f ca="1">IF(SUM(COUNTIF(INDIRECT({"$F$2","$M$2","$K$36","$W$36","$K$95","$Z$8","$W$95"}), "="&amp;IncompleteText)), IncompleteText, IF(SUM(COUNTIF(INDIRECT({"$F$2","$M$2","$K$36","$W$36","$K$95","$Z$8","$W$95"}), "="&amp;ErrorText)), ErrorText, OKText))</f>
        <v>BLANK</v>
      </c>
    </row>
    <row r="2" spans="1:59" x14ac:dyDescent="0.25">
      <c r="A2" s="105" t="s">
        <v>29</v>
      </c>
      <c r="B2" s="105"/>
      <c r="C2" s="105"/>
      <c r="D2" s="105"/>
      <c r="E2" s="105"/>
      <c r="F2" s="96" t="str">
        <f>IF(COUNTIF(F4:F8, "="&amp;IncompleteText), IncompleteText, IF(COUNTIF(F4:F8, "="&amp;ErrorText), ErrorText, OKText))</f>
        <v>BLANK</v>
      </c>
      <c r="H2" s="105" t="s">
        <v>32</v>
      </c>
      <c r="I2" s="105"/>
      <c r="J2" s="105"/>
      <c r="K2" s="105"/>
      <c r="L2" s="105"/>
      <c r="M2" s="96" t="str">
        <f>IF(COUNTIF(M4:M8, "="&amp;IncompleteText), IncompleteText, IF(COUNTIF(M4:M8, "="&amp;ErrorText), ErrorText, OKText))</f>
        <v>BLANK</v>
      </c>
    </row>
    <row r="3" spans="1:59" x14ac:dyDescent="0.25">
      <c r="A3" s="242" t="s">
        <v>232</v>
      </c>
      <c r="B3" s="243"/>
      <c r="C3" s="243"/>
      <c r="D3" s="244" t="s">
        <v>498</v>
      </c>
      <c r="E3" s="245"/>
      <c r="F3" s="96"/>
      <c r="H3" s="242" t="s">
        <v>232</v>
      </c>
      <c r="I3" s="243"/>
      <c r="J3" s="247"/>
      <c r="K3" s="244" t="s">
        <v>529</v>
      </c>
      <c r="L3" s="245"/>
      <c r="M3" s="96"/>
    </row>
    <row r="4" spans="1:59" x14ac:dyDescent="0.25">
      <c r="A4" s="106" t="s">
        <v>74</v>
      </c>
      <c r="B4" s="106"/>
      <c r="C4" s="106"/>
      <c r="D4" s="246"/>
      <c r="E4" s="246"/>
      <c r="F4" s="49" t="str">
        <f>IF(ISBLANK(D4), IncompleteText, OKText)</f>
        <v>BLANK</v>
      </c>
      <c r="H4" s="106" t="s">
        <v>294</v>
      </c>
      <c r="I4" s="106"/>
      <c r="J4" s="106"/>
      <c r="K4" s="248"/>
      <c r="L4" s="248"/>
      <c r="M4" s="49" t="str">
        <f>IF(ISBLANK(K4), IncompleteText, OKText)</f>
        <v>BLANK</v>
      </c>
    </row>
    <row r="5" spans="1:59" x14ac:dyDescent="0.25">
      <c r="A5" s="106" t="s">
        <v>291</v>
      </c>
      <c r="B5" s="106"/>
      <c r="C5" s="106"/>
      <c r="D5" s="5"/>
      <c r="E5" s="16" t="s">
        <v>31</v>
      </c>
      <c r="F5" s="49" t="str">
        <f>IF(ISBLANK(D5), IncompleteText, IF(D5&lt;(MaxTSVoltage*0.5), ErrorText, OKText))</f>
        <v>BLANK</v>
      </c>
      <c r="H5" s="106" t="s">
        <v>295</v>
      </c>
      <c r="I5" s="106"/>
      <c r="J5" s="106"/>
      <c r="K5" s="248"/>
      <c r="L5" s="248"/>
      <c r="M5" s="49" t="str">
        <f>IF(ISBLANK(K5), IncompleteText, OKText)</f>
        <v>BLANK</v>
      </c>
    </row>
    <row r="6" spans="1:59" ht="39.75" customHeight="1" x14ac:dyDescent="0.25">
      <c r="A6" s="186" t="s">
        <v>292</v>
      </c>
      <c r="B6" s="186"/>
      <c r="C6" s="186"/>
      <c r="D6" s="95"/>
      <c r="E6" s="95"/>
      <c r="F6" s="49" t="str">
        <f>IF(ISBLANK(D6), IncompleteText, OKText)</f>
        <v>BLANK</v>
      </c>
      <c r="H6" s="106" t="s">
        <v>296</v>
      </c>
      <c r="I6" s="106"/>
      <c r="J6" s="106"/>
      <c r="K6" s="5"/>
      <c r="L6" s="16" t="s">
        <v>2</v>
      </c>
      <c r="M6" s="49" t="str">
        <f>IF(ISBLANK(K6),IncompleteText,IF(K6&gt;(5000/MaxTSVoltage),ErrorText,OKText))</f>
        <v>BLANK</v>
      </c>
    </row>
    <row r="7" spans="1:59" ht="39.75" customHeight="1" x14ac:dyDescent="0.25">
      <c r="A7" s="186" t="s">
        <v>293</v>
      </c>
      <c r="B7" s="186"/>
      <c r="C7" s="186"/>
      <c r="D7" s="95"/>
      <c r="E7" s="95"/>
      <c r="F7" s="49" t="str">
        <f>IF(ISBLANK(D7), IncompleteText, OKText)</f>
        <v>BLANK</v>
      </c>
      <c r="H7" s="106" t="s">
        <v>297</v>
      </c>
      <c r="I7" s="106"/>
      <c r="J7" s="106"/>
      <c r="K7" s="5"/>
      <c r="L7" s="16" t="s">
        <v>0</v>
      </c>
      <c r="M7" s="49" t="str">
        <f>IF(ISBLANK(K7), IncompleteText, OKText)</f>
        <v>BLANK</v>
      </c>
    </row>
    <row r="8" spans="1:59" x14ac:dyDescent="0.25">
      <c r="A8" s="106" t="s">
        <v>37</v>
      </c>
      <c r="B8" s="106"/>
      <c r="C8" s="106"/>
      <c r="D8" s="95"/>
      <c r="E8" s="95"/>
      <c r="F8" s="49" t="str">
        <f>IF(ISBLANK(D8), IncompleteText, OKText)</f>
        <v>BLANK</v>
      </c>
      <c r="H8" s="106" t="s">
        <v>298</v>
      </c>
      <c r="I8" s="106"/>
      <c r="J8" s="106"/>
      <c r="K8" s="5"/>
      <c r="L8" s="16" t="s">
        <v>2</v>
      </c>
      <c r="M8" s="49" t="str">
        <f>IF(ISBLANK(K8), IncompleteText, OKText)</f>
        <v>BLANK</v>
      </c>
      <c r="Y8" s="68" t="s">
        <v>35</v>
      </c>
      <c r="Z8" s="49" t="str">
        <f ca="1">IF(SUM(COUNTIF(INDIRECT({"$AI$35","$AI$49","$AI$55","$AU$35","$AU$76","$BG$76"}), "="&amp;IncompleteText)), IncompleteText, IF(SUM(COUNTIF(INDIRECT({"$AI$35","$AI$49","$AI$55","$AU$35","$AU$76","$BG$76"}), "="&amp;ErrorText)), ErrorText, OKText))</f>
        <v>BLANK</v>
      </c>
    </row>
    <row r="9" spans="1:59" ht="13.95" customHeight="1" x14ac:dyDescent="0.25">
      <c r="Y9" s="233" t="s">
        <v>547</v>
      </c>
      <c r="Z9" s="234"/>
      <c r="AA9" s="234"/>
      <c r="AB9" s="234"/>
      <c r="AC9" s="234"/>
      <c r="AD9" s="234"/>
      <c r="AE9" s="234"/>
      <c r="AF9" s="234"/>
      <c r="AG9" s="234"/>
      <c r="AH9" s="234"/>
      <c r="AI9" s="235"/>
      <c r="AK9" s="127" t="s">
        <v>550</v>
      </c>
      <c r="AL9" s="115"/>
      <c r="AM9" s="115"/>
      <c r="AN9" s="115"/>
      <c r="AO9" s="115"/>
      <c r="AP9" s="115"/>
      <c r="AQ9" s="115"/>
      <c r="AR9" s="115"/>
      <c r="AS9" s="115"/>
      <c r="AT9" s="115"/>
      <c r="AU9" s="115"/>
      <c r="AW9" s="127" t="s">
        <v>549</v>
      </c>
      <c r="AX9" s="115"/>
      <c r="AY9" s="115"/>
      <c r="AZ9" s="115"/>
      <c r="BA9" s="115"/>
      <c r="BB9" s="115"/>
      <c r="BC9" s="115"/>
      <c r="BD9" s="115"/>
      <c r="BE9" s="115"/>
      <c r="BF9" s="115"/>
      <c r="BG9" s="115"/>
    </row>
    <row r="10" spans="1:59" x14ac:dyDescent="0.25">
      <c r="A10" s="115" t="s">
        <v>299</v>
      </c>
      <c r="B10" s="115"/>
      <c r="C10" s="115"/>
      <c r="D10" s="115"/>
      <c r="E10" s="115"/>
      <c r="F10" s="115"/>
      <c r="G10" s="115"/>
      <c r="H10" s="115"/>
      <c r="I10" s="115"/>
      <c r="J10" s="115"/>
      <c r="K10" s="115"/>
      <c r="M10" s="115" t="s">
        <v>322</v>
      </c>
      <c r="N10" s="115"/>
      <c r="O10" s="115"/>
      <c r="P10" s="115"/>
      <c r="Q10" s="115"/>
      <c r="R10" s="115"/>
      <c r="S10" s="115"/>
      <c r="T10" s="115"/>
      <c r="U10" s="115"/>
      <c r="V10" s="115"/>
      <c r="W10" s="115"/>
      <c r="Y10" s="236"/>
      <c r="Z10" s="237"/>
      <c r="AA10" s="237"/>
      <c r="AB10" s="237"/>
      <c r="AC10" s="237"/>
      <c r="AD10" s="237"/>
      <c r="AE10" s="237"/>
      <c r="AF10" s="237"/>
      <c r="AG10" s="237"/>
      <c r="AH10" s="237"/>
      <c r="AI10" s="238"/>
      <c r="AK10" s="115"/>
      <c r="AL10" s="115"/>
      <c r="AM10" s="115"/>
      <c r="AN10" s="115"/>
      <c r="AO10" s="115"/>
      <c r="AP10" s="115"/>
      <c r="AQ10" s="115"/>
      <c r="AR10" s="115"/>
      <c r="AS10" s="115"/>
      <c r="AT10" s="115"/>
      <c r="AU10" s="115"/>
      <c r="AW10" s="115"/>
      <c r="AX10" s="115"/>
      <c r="AY10" s="115"/>
      <c r="AZ10" s="115"/>
      <c r="BA10" s="115"/>
      <c r="BB10" s="115"/>
      <c r="BC10" s="115"/>
      <c r="BD10" s="115"/>
      <c r="BE10" s="115"/>
      <c r="BF10" s="115"/>
      <c r="BG10" s="115"/>
    </row>
    <row r="11" spans="1:59" x14ac:dyDescent="0.25">
      <c r="A11" s="115"/>
      <c r="B11" s="115"/>
      <c r="C11" s="115"/>
      <c r="D11" s="115"/>
      <c r="E11" s="115"/>
      <c r="F11" s="115"/>
      <c r="G11" s="115"/>
      <c r="H11" s="115"/>
      <c r="I11" s="115"/>
      <c r="J11" s="115"/>
      <c r="K11" s="115"/>
      <c r="M11" s="115"/>
      <c r="N11" s="115"/>
      <c r="O11" s="115"/>
      <c r="P11" s="115"/>
      <c r="Q11" s="115"/>
      <c r="R11" s="115"/>
      <c r="S11" s="115"/>
      <c r="T11" s="115"/>
      <c r="U11" s="115"/>
      <c r="V11" s="115"/>
      <c r="W11" s="115"/>
      <c r="Y11" s="236"/>
      <c r="Z11" s="237"/>
      <c r="AA11" s="237"/>
      <c r="AB11" s="237"/>
      <c r="AC11" s="237"/>
      <c r="AD11" s="237"/>
      <c r="AE11" s="237"/>
      <c r="AF11" s="237"/>
      <c r="AG11" s="237"/>
      <c r="AH11" s="237"/>
      <c r="AI11" s="238"/>
      <c r="AK11" s="115"/>
      <c r="AL11" s="115"/>
      <c r="AM11" s="115"/>
      <c r="AN11" s="115"/>
      <c r="AO11" s="115"/>
      <c r="AP11" s="115"/>
      <c r="AQ11" s="115"/>
      <c r="AR11" s="115"/>
      <c r="AS11" s="115"/>
      <c r="AT11" s="115"/>
      <c r="AU11" s="115"/>
      <c r="AW11" s="115"/>
      <c r="AX11" s="115"/>
      <c r="AY11" s="115"/>
      <c r="AZ11" s="115"/>
      <c r="BA11" s="115"/>
      <c r="BB11" s="115"/>
      <c r="BC11" s="115"/>
      <c r="BD11" s="115"/>
      <c r="BE11" s="115"/>
      <c r="BF11" s="115"/>
      <c r="BG11" s="115"/>
    </row>
    <row r="12" spans="1:59" x14ac:dyDescent="0.25">
      <c r="A12" s="115"/>
      <c r="B12" s="115"/>
      <c r="C12" s="115"/>
      <c r="D12" s="115"/>
      <c r="E12" s="115"/>
      <c r="F12" s="115"/>
      <c r="G12" s="115"/>
      <c r="H12" s="115"/>
      <c r="I12" s="115"/>
      <c r="J12" s="115"/>
      <c r="K12" s="115"/>
      <c r="M12" s="115"/>
      <c r="N12" s="115"/>
      <c r="O12" s="115"/>
      <c r="P12" s="115"/>
      <c r="Q12" s="115"/>
      <c r="R12" s="115"/>
      <c r="S12" s="115"/>
      <c r="T12" s="115"/>
      <c r="U12" s="115"/>
      <c r="V12" s="115"/>
      <c r="W12" s="115"/>
      <c r="Y12" s="236"/>
      <c r="Z12" s="237"/>
      <c r="AA12" s="237"/>
      <c r="AB12" s="237"/>
      <c r="AC12" s="237"/>
      <c r="AD12" s="237"/>
      <c r="AE12" s="237"/>
      <c r="AF12" s="237"/>
      <c r="AG12" s="237"/>
      <c r="AH12" s="237"/>
      <c r="AI12" s="238"/>
      <c r="AK12" s="115"/>
      <c r="AL12" s="115"/>
      <c r="AM12" s="115"/>
      <c r="AN12" s="115"/>
      <c r="AO12" s="115"/>
      <c r="AP12" s="115"/>
      <c r="AQ12" s="115"/>
      <c r="AR12" s="115"/>
      <c r="AS12" s="115"/>
      <c r="AT12" s="115"/>
      <c r="AU12" s="115"/>
      <c r="AW12" s="115"/>
      <c r="AX12" s="115"/>
      <c r="AY12" s="115"/>
      <c r="AZ12" s="115"/>
      <c r="BA12" s="115"/>
      <c r="BB12" s="115"/>
      <c r="BC12" s="115"/>
      <c r="BD12" s="115"/>
      <c r="BE12" s="115"/>
      <c r="BF12" s="115"/>
      <c r="BG12" s="115"/>
    </row>
    <row r="13" spans="1:59" x14ac:dyDescent="0.25">
      <c r="A13" s="115"/>
      <c r="B13" s="115"/>
      <c r="C13" s="115"/>
      <c r="D13" s="115"/>
      <c r="E13" s="115"/>
      <c r="F13" s="115"/>
      <c r="G13" s="115"/>
      <c r="H13" s="115"/>
      <c r="I13" s="115"/>
      <c r="J13" s="115"/>
      <c r="K13" s="115"/>
      <c r="M13" s="115"/>
      <c r="N13" s="115"/>
      <c r="O13" s="115"/>
      <c r="P13" s="115"/>
      <c r="Q13" s="115"/>
      <c r="R13" s="115"/>
      <c r="S13" s="115"/>
      <c r="T13" s="115"/>
      <c r="U13" s="115"/>
      <c r="V13" s="115"/>
      <c r="W13" s="115"/>
      <c r="Y13" s="236"/>
      <c r="Z13" s="237"/>
      <c r="AA13" s="237"/>
      <c r="AB13" s="237"/>
      <c r="AC13" s="237"/>
      <c r="AD13" s="237"/>
      <c r="AE13" s="237"/>
      <c r="AF13" s="237"/>
      <c r="AG13" s="237"/>
      <c r="AH13" s="237"/>
      <c r="AI13" s="238"/>
      <c r="AK13" s="115"/>
      <c r="AL13" s="115"/>
      <c r="AM13" s="115"/>
      <c r="AN13" s="115"/>
      <c r="AO13" s="115"/>
      <c r="AP13" s="115"/>
      <c r="AQ13" s="115"/>
      <c r="AR13" s="115"/>
      <c r="AS13" s="115"/>
      <c r="AT13" s="115"/>
      <c r="AU13" s="115"/>
      <c r="AW13" s="115"/>
      <c r="AX13" s="115"/>
      <c r="AY13" s="115"/>
      <c r="AZ13" s="115"/>
      <c r="BA13" s="115"/>
      <c r="BB13" s="115"/>
      <c r="BC13" s="115"/>
      <c r="BD13" s="115"/>
      <c r="BE13" s="115"/>
      <c r="BF13" s="115"/>
      <c r="BG13" s="115"/>
    </row>
    <row r="14" spans="1:59" x14ac:dyDescent="0.25">
      <c r="A14" s="115"/>
      <c r="B14" s="115"/>
      <c r="C14" s="115"/>
      <c r="D14" s="115"/>
      <c r="E14" s="115"/>
      <c r="F14" s="115"/>
      <c r="G14" s="115"/>
      <c r="H14" s="115"/>
      <c r="I14" s="115"/>
      <c r="J14" s="115"/>
      <c r="K14" s="115"/>
      <c r="M14" s="115"/>
      <c r="N14" s="115"/>
      <c r="O14" s="115"/>
      <c r="P14" s="115"/>
      <c r="Q14" s="115"/>
      <c r="R14" s="115"/>
      <c r="S14" s="115"/>
      <c r="T14" s="115"/>
      <c r="U14" s="115"/>
      <c r="V14" s="115"/>
      <c r="W14" s="115"/>
      <c r="Y14" s="236"/>
      <c r="Z14" s="237"/>
      <c r="AA14" s="237"/>
      <c r="AB14" s="237"/>
      <c r="AC14" s="237"/>
      <c r="AD14" s="237"/>
      <c r="AE14" s="237"/>
      <c r="AF14" s="237"/>
      <c r="AG14" s="237"/>
      <c r="AH14" s="237"/>
      <c r="AI14" s="238"/>
      <c r="AK14" s="115"/>
      <c r="AL14" s="115"/>
      <c r="AM14" s="115"/>
      <c r="AN14" s="115"/>
      <c r="AO14" s="115"/>
      <c r="AP14" s="115"/>
      <c r="AQ14" s="115"/>
      <c r="AR14" s="115"/>
      <c r="AS14" s="115"/>
      <c r="AT14" s="115"/>
      <c r="AU14" s="115"/>
      <c r="AW14" s="115"/>
      <c r="AX14" s="115"/>
      <c r="AY14" s="115"/>
      <c r="AZ14" s="115"/>
      <c r="BA14" s="115"/>
      <c r="BB14" s="115"/>
      <c r="BC14" s="115"/>
      <c r="BD14" s="115"/>
      <c r="BE14" s="115"/>
      <c r="BF14" s="115"/>
      <c r="BG14" s="115"/>
    </row>
    <row r="15" spans="1:59" x14ac:dyDescent="0.25">
      <c r="A15" s="115"/>
      <c r="B15" s="115"/>
      <c r="C15" s="115"/>
      <c r="D15" s="115"/>
      <c r="E15" s="115"/>
      <c r="F15" s="115"/>
      <c r="G15" s="115"/>
      <c r="H15" s="115"/>
      <c r="I15" s="115"/>
      <c r="J15" s="115"/>
      <c r="K15" s="115"/>
      <c r="M15" s="115"/>
      <c r="N15" s="115"/>
      <c r="O15" s="115"/>
      <c r="P15" s="115"/>
      <c r="Q15" s="115"/>
      <c r="R15" s="115"/>
      <c r="S15" s="115"/>
      <c r="T15" s="115"/>
      <c r="U15" s="115"/>
      <c r="V15" s="115"/>
      <c r="W15" s="115"/>
      <c r="Y15" s="236"/>
      <c r="Z15" s="237"/>
      <c r="AA15" s="237"/>
      <c r="AB15" s="237"/>
      <c r="AC15" s="237"/>
      <c r="AD15" s="237"/>
      <c r="AE15" s="237"/>
      <c r="AF15" s="237"/>
      <c r="AG15" s="237"/>
      <c r="AH15" s="237"/>
      <c r="AI15" s="238"/>
      <c r="AK15" s="115"/>
      <c r="AL15" s="115"/>
      <c r="AM15" s="115"/>
      <c r="AN15" s="115"/>
      <c r="AO15" s="115"/>
      <c r="AP15" s="115"/>
      <c r="AQ15" s="115"/>
      <c r="AR15" s="115"/>
      <c r="AS15" s="115"/>
      <c r="AT15" s="115"/>
      <c r="AU15" s="115"/>
      <c r="AW15" s="115"/>
      <c r="AX15" s="115"/>
      <c r="AY15" s="115"/>
      <c r="AZ15" s="115"/>
      <c r="BA15" s="115"/>
      <c r="BB15" s="115"/>
      <c r="BC15" s="115"/>
      <c r="BD15" s="115"/>
      <c r="BE15" s="115"/>
      <c r="BF15" s="115"/>
      <c r="BG15" s="115"/>
    </row>
    <row r="16" spans="1:59" x14ac:dyDescent="0.25">
      <c r="A16" s="115"/>
      <c r="B16" s="115"/>
      <c r="C16" s="115"/>
      <c r="D16" s="115"/>
      <c r="E16" s="115"/>
      <c r="F16" s="115"/>
      <c r="G16" s="115"/>
      <c r="H16" s="115"/>
      <c r="I16" s="115"/>
      <c r="J16" s="115"/>
      <c r="K16" s="115"/>
      <c r="M16" s="115"/>
      <c r="N16" s="115"/>
      <c r="O16" s="115"/>
      <c r="P16" s="115"/>
      <c r="Q16" s="115"/>
      <c r="R16" s="115"/>
      <c r="S16" s="115"/>
      <c r="T16" s="115"/>
      <c r="U16" s="115"/>
      <c r="V16" s="115"/>
      <c r="W16" s="115"/>
      <c r="Y16" s="236"/>
      <c r="Z16" s="237"/>
      <c r="AA16" s="237"/>
      <c r="AB16" s="237"/>
      <c r="AC16" s="237"/>
      <c r="AD16" s="237"/>
      <c r="AE16" s="237"/>
      <c r="AF16" s="237"/>
      <c r="AG16" s="237"/>
      <c r="AH16" s="237"/>
      <c r="AI16" s="238"/>
      <c r="AK16" s="115"/>
      <c r="AL16" s="115"/>
      <c r="AM16" s="115"/>
      <c r="AN16" s="115"/>
      <c r="AO16" s="115"/>
      <c r="AP16" s="115"/>
      <c r="AQ16" s="115"/>
      <c r="AR16" s="115"/>
      <c r="AS16" s="115"/>
      <c r="AT16" s="115"/>
      <c r="AU16" s="115"/>
      <c r="AW16" s="115"/>
      <c r="AX16" s="115"/>
      <c r="AY16" s="115"/>
      <c r="AZ16" s="115"/>
      <c r="BA16" s="115"/>
      <c r="BB16" s="115"/>
      <c r="BC16" s="115"/>
      <c r="BD16" s="115"/>
      <c r="BE16" s="115"/>
      <c r="BF16" s="115"/>
      <c r="BG16" s="115"/>
    </row>
    <row r="17" spans="1:59" x14ac:dyDescent="0.25">
      <c r="A17" s="115"/>
      <c r="B17" s="115"/>
      <c r="C17" s="115"/>
      <c r="D17" s="115"/>
      <c r="E17" s="115"/>
      <c r="F17" s="115"/>
      <c r="G17" s="115"/>
      <c r="H17" s="115"/>
      <c r="I17" s="115"/>
      <c r="J17" s="115"/>
      <c r="K17" s="115"/>
      <c r="M17" s="115"/>
      <c r="N17" s="115"/>
      <c r="O17" s="115"/>
      <c r="P17" s="115"/>
      <c r="Q17" s="115"/>
      <c r="R17" s="115"/>
      <c r="S17" s="115"/>
      <c r="T17" s="115"/>
      <c r="U17" s="115"/>
      <c r="V17" s="115"/>
      <c r="W17" s="115"/>
      <c r="Y17" s="236"/>
      <c r="Z17" s="237"/>
      <c r="AA17" s="237"/>
      <c r="AB17" s="237"/>
      <c r="AC17" s="237"/>
      <c r="AD17" s="237"/>
      <c r="AE17" s="237"/>
      <c r="AF17" s="237"/>
      <c r="AG17" s="237"/>
      <c r="AH17" s="237"/>
      <c r="AI17" s="238"/>
      <c r="AK17" s="115"/>
      <c r="AL17" s="115"/>
      <c r="AM17" s="115"/>
      <c r="AN17" s="115"/>
      <c r="AO17" s="115"/>
      <c r="AP17" s="115"/>
      <c r="AQ17" s="115"/>
      <c r="AR17" s="115"/>
      <c r="AS17" s="115"/>
      <c r="AT17" s="115"/>
      <c r="AU17" s="115"/>
      <c r="AW17" s="115"/>
      <c r="AX17" s="115"/>
      <c r="AY17" s="115"/>
      <c r="AZ17" s="115"/>
      <c r="BA17" s="115"/>
      <c r="BB17" s="115"/>
      <c r="BC17" s="115"/>
      <c r="BD17" s="115"/>
      <c r="BE17" s="115"/>
      <c r="BF17" s="115"/>
      <c r="BG17" s="115"/>
    </row>
    <row r="18" spans="1:59" x14ac:dyDescent="0.25">
      <c r="A18" s="115"/>
      <c r="B18" s="115"/>
      <c r="C18" s="115"/>
      <c r="D18" s="115"/>
      <c r="E18" s="115"/>
      <c r="F18" s="115"/>
      <c r="G18" s="115"/>
      <c r="H18" s="115"/>
      <c r="I18" s="115"/>
      <c r="J18" s="115"/>
      <c r="K18" s="115"/>
      <c r="M18" s="115"/>
      <c r="N18" s="115"/>
      <c r="O18" s="115"/>
      <c r="P18" s="115"/>
      <c r="Q18" s="115"/>
      <c r="R18" s="115"/>
      <c r="S18" s="115"/>
      <c r="T18" s="115"/>
      <c r="U18" s="115"/>
      <c r="V18" s="115"/>
      <c r="W18" s="115"/>
      <c r="Y18" s="236"/>
      <c r="Z18" s="237"/>
      <c r="AA18" s="237"/>
      <c r="AB18" s="237"/>
      <c r="AC18" s="237"/>
      <c r="AD18" s="237"/>
      <c r="AE18" s="237"/>
      <c r="AF18" s="237"/>
      <c r="AG18" s="237"/>
      <c r="AH18" s="237"/>
      <c r="AI18" s="238"/>
      <c r="AK18" s="115"/>
      <c r="AL18" s="115"/>
      <c r="AM18" s="115"/>
      <c r="AN18" s="115"/>
      <c r="AO18" s="115"/>
      <c r="AP18" s="115"/>
      <c r="AQ18" s="115"/>
      <c r="AR18" s="115"/>
      <c r="AS18" s="115"/>
      <c r="AT18" s="115"/>
      <c r="AU18" s="115"/>
      <c r="AW18" s="115"/>
      <c r="AX18" s="115"/>
      <c r="AY18" s="115"/>
      <c r="AZ18" s="115"/>
      <c r="BA18" s="115"/>
      <c r="BB18" s="115"/>
      <c r="BC18" s="115"/>
      <c r="BD18" s="115"/>
      <c r="BE18" s="115"/>
      <c r="BF18" s="115"/>
      <c r="BG18" s="115"/>
    </row>
    <row r="19" spans="1:59" x14ac:dyDescent="0.25">
      <c r="A19" s="115"/>
      <c r="B19" s="115"/>
      <c r="C19" s="115"/>
      <c r="D19" s="115"/>
      <c r="E19" s="115"/>
      <c r="F19" s="115"/>
      <c r="G19" s="115"/>
      <c r="H19" s="115"/>
      <c r="I19" s="115"/>
      <c r="J19" s="115"/>
      <c r="K19" s="115"/>
      <c r="M19" s="115"/>
      <c r="N19" s="115"/>
      <c r="O19" s="115"/>
      <c r="P19" s="115"/>
      <c r="Q19" s="115"/>
      <c r="R19" s="115"/>
      <c r="S19" s="115"/>
      <c r="T19" s="115"/>
      <c r="U19" s="115"/>
      <c r="V19" s="115"/>
      <c r="W19" s="115"/>
      <c r="Y19" s="236"/>
      <c r="Z19" s="237"/>
      <c r="AA19" s="237"/>
      <c r="AB19" s="237"/>
      <c r="AC19" s="237"/>
      <c r="AD19" s="237"/>
      <c r="AE19" s="237"/>
      <c r="AF19" s="237"/>
      <c r="AG19" s="237"/>
      <c r="AH19" s="237"/>
      <c r="AI19" s="238"/>
      <c r="AK19" s="115"/>
      <c r="AL19" s="115"/>
      <c r="AM19" s="115"/>
      <c r="AN19" s="115"/>
      <c r="AO19" s="115"/>
      <c r="AP19" s="115"/>
      <c r="AQ19" s="115"/>
      <c r="AR19" s="115"/>
      <c r="AS19" s="115"/>
      <c r="AT19" s="115"/>
      <c r="AU19" s="115"/>
      <c r="AW19" s="115"/>
      <c r="AX19" s="115"/>
      <c r="AY19" s="115"/>
      <c r="AZ19" s="115"/>
      <c r="BA19" s="115"/>
      <c r="BB19" s="115"/>
      <c r="BC19" s="115"/>
      <c r="BD19" s="115"/>
      <c r="BE19" s="115"/>
      <c r="BF19" s="115"/>
      <c r="BG19" s="115"/>
    </row>
    <row r="20" spans="1:59" x14ac:dyDescent="0.25">
      <c r="A20" s="115"/>
      <c r="B20" s="115"/>
      <c r="C20" s="115"/>
      <c r="D20" s="115"/>
      <c r="E20" s="115"/>
      <c r="F20" s="115"/>
      <c r="G20" s="115"/>
      <c r="H20" s="115"/>
      <c r="I20" s="115"/>
      <c r="J20" s="115"/>
      <c r="K20" s="115"/>
      <c r="M20" s="115"/>
      <c r="N20" s="115"/>
      <c r="O20" s="115"/>
      <c r="P20" s="115"/>
      <c r="Q20" s="115"/>
      <c r="R20" s="115"/>
      <c r="S20" s="115"/>
      <c r="T20" s="115"/>
      <c r="U20" s="115"/>
      <c r="V20" s="115"/>
      <c r="W20" s="115"/>
      <c r="Y20" s="236"/>
      <c r="Z20" s="237"/>
      <c r="AA20" s="237"/>
      <c r="AB20" s="237"/>
      <c r="AC20" s="237"/>
      <c r="AD20" s="237"/>
      <c r="AE20" s="237"/>
      <c r="AF20" s="237"/>
      <c r="AG20" s="237"/>
      <c r="AH20" s="237"/>
      <c r="AI20" s="238"/>
      <c r="AK20" s="115"/>
      <c r="AL20" s="115"/>
      <c r="AM20" s="115"/>
      <c r="AN20" s="115"/>
      <c r="AO20" s="115"/>
      <c r="AP20" s="115"/>
      <c r="AQ20" s="115"/>
      <c r="AR20" s="115"/>
      <c r="AS20" s="115"/>
      <c r="AT20" s="115"/>
      <c r="AU20" s="115"/>
      <c r="AW20" s="115"/>
      <c r="AX20" s="115"/>
      <c r="AY20" s="115"/>
      <c r="AZ20" s="115"/>
      <c r="BA20" s="115"/>
      <c r="BB20" s="115"/>
      <c r="BC20" s="115"/>
      <c r="BD20" s="115"/>
      <c r="BE20" s="115"/>
      <c r="BF20" s="115"/>
      <c r="BG20" s="115"/>
    </row>
    <row r="21" spans="1:59" x14ac:dyDescent="0.25">
      <c r="A21" s="115"/>
      <c r="B21" s="115"/>
      <c r="C21" s="115"/>
      <c r="D21" s="115"/>
      <c r="E21" s="115"/>
      <c r="F21" s="115"/>
      <c r="G21" s="115"/>
      <c r="H21" s="115"/>
      <c r="I21" s="115"/>
      <c r="J21" s="115"/>
      <c r="K21" s="115"/>
      <c r="M21" s="115"/>
      <c r="N21" s="115"/>
      <c r="O21" s="115"/>
      <c r="P21" s="115"/>
      <c r="Q21" s="115"/>
      <c r="R21" s="115"/>
      <c r="S21" s="115"/>
      <c r="T21" s="115"/>
      <c r="U21" s="115"/>
      <c r="V21" s="115"/>
      <c r="W21" s="115"/>
      <c r="Y21" s="236"/>
      <c r="Z21" s="237"/>
      <c r="AA21" s="237"/>
      <c r="AB21" s="237"/>
      <c r="AC21" s="237"/>
      <c r="AD21" s="237"/>
      <c r="AE21" s="237"/>
      <c r="AF21" s="237"/>
      <c r="AG21" s="237"/>
      <c r="AH21" s="237"/>
      <c r="AI21" s="238"/>
      <c r="AK21" s="115"/>
      <c r="AL21" s="115"/>
      <c r="AM21" s="115"/>
      <c r="AN21" s="115"/>
      <c r="AO21" s="115"/>
      <c r="AP21" s="115"/>
      <c r="AQ21" s="115"/>
      <c r="AR21" s="115"/>
      <c r="AS21" s="115"/>
      <c r="AT21" s="115"/>
      <c r="AU21" s="115"/>
      <c r="AW21" s="115"/>
      <c r="AX21" s="115"/>
      <c r="AY21" s="115"/>
      <c r="AZ21" s="115"/>
      <c r="BA21" s="115"/>
      <c r="BB21" s="115"/>
      <c r="BC21" s="115"/>
      <c r="BD21" s="115"/>
      <c r="BE21" s="115"/>
      <c r="BF21" s="115"/>
      <c r="BG21" s="115"/>
    </row>
    <row r="22" spans="1:59" x14ac:dyDescent="0.25">
      <c r="A22" s="115"/>
      <c r="B22" s="115"/>
      <c r="C22" s="115"/>
      <c r="D22" s="115"/>
      <c r="E22" s="115"/>
      <c r="F22" s="115"/>
      <c r="G22" s="115"/>
      <c r="H22" s="115"/>
      <c r="I22" s="115"/>
      <c r="J22" s="115"/>
      <c r="K22" s="115"/>
      <c r="M22" s="115"/>
      <c r="N22" s="115"/>
      <c r="O22" s="115"/>
      <c r="P22" s="115"/>
      <c r="Q22" s="115"/>
      <c r="R22" s="115"/>
      <c r="S22" s="115"/>
      <c r="T22" s="115"/>
      <c r="U22" s="115"/>
      <c r="V22" s="115"/>
      <c r="W22" s="115"/>
      <c r="Y22" s="236"/>
      <c r="Z22" s="237"/>
      <c r="AA22" s="237"/>
      <c r="AB22" s="237"/>
      <c r="AC22" s="237"/>
      <c r="AD22" s="237"/>
      <c r="AE22" s="237"/>
      <c r="AF22" s="237"/>
      <c r="AG22" s="237"/>
      <c r="AH22" s="237"/>
      <c r="AI22" s="238"/>
      <c r="AK22" s="115"/>
      <c r="AL22" s="115"/>
      <c r="AM22" s="115"/>
      <c r="AN22" s="115"/>
      <c r="AO22" s="115"/>
      <c r="AP22" s="115"/>
      <c r="AQ22" s="115"/>
      <c r="AR22" s="115"/>
      <c r="AS22" s="115"/>
      <c r="AT22" s="115"/>
      <c r="AU22" s="115"/>
      <c r="AW22" s="115"/>
      <c r="AX22" s="115"/>
      <c r="AY22" s="115"/>
      <c r="AZ22" s="115"/>
      <c r="BA22" s="115"/>
      <c r="BB22" s="115"/>
      <c r="BC22" s="115"/>
      <c r="BD22" s="115"/>
      <c r="BE22" s="115"/>
      <c r="BF22" s="115"/>
      <c r="BG22" s="115"/>
    </row>
    <row r="23" spans="1:59" x14ac:dyDescent="0.25">
      <c r="A23" s="115"/>
      <c r="B23" s="115"/>
      <c r="C23" s="115"/>
      <c r="D23" s="115"/>
      <c r="E23" s="115"/>
      <c r="F23" s="115"/>
      <c r="G23" s="115"/>
      <c r="H23" s="115"/>
      <c r="I23" s="115"/>
      <c r="J23" s="115"/>
      <c r="K23" s="115"/>
      <c r="M23" s="115"/>
      <c r="N23" s="115"/>
      <c r="O23" s="115"/>
      <c r="P23" s="115"/>
      <c r="Q23" s="115"/>
      <c r="R23" s="115"/>
      <c r="S23" s="115"/>
      <c r="T23" s="115"/>
      <c r="U23" s="115"/>
      <c r="V23" s="115"/>
      <c r="W23" s="115"/>
      <c r="Y23" s="236"/>
      <c r="Z23" s="237"/>
      <c r="AA23" s="237"/>
      <c r="AB23" s="237"/>
      <c r="AC23" s="237"/>
      <c r="AD23" s="237"/>
      <c r="AE23" s="237"/>
      <c r="AF23" s="237"/>
      <c r="AG23" s="237"/>
      <c r="AH23" s="237"/>
      <c r="AI23" s="238"/>
      <c r="AK23" s="115"/>
      <c r="AL23" s="115"/>
      <c r="AM23" s="115"/>
      <c r="AN23" s="115"/>
      <c r="AO23" s="115"/>
      <c r="AP23" s="115"/>
      <c r="AQ23" s="115"/>
      <c r="AR23" s="115"/>
      <c r="AS23" s="115"/>
      <c r="AT23" s="115"/>
      <c r="AU23" s="115"/>
      <c r="AW23" s="115"/>
      <c r="AX23" s="115"/>
      <c r="AY23" s="115"/>
      <c r="AZ23" s="115"/>
      <c r="BA23" s="115"/>
      <c r="BB23" s="115"/>
      <c r="BC23" s="115"/>
      <c r="BD23" s="115"/>
      <c r="BE23" s="115"/>
      <c r="BF23" s="115"/>
      <c r="BG23" s="115"/>
    </row>
    <row r="24" spans="1:59" x14ac:dyDescent="0.25">
      <c r="A24" s="115"/>
      <c r="B24" s="115"/>
      <c r="C24" s="115"/>
      <c r="D24" s="115"/>
      <c r="E24" s="115"/>
      <c r="F24" s="115"/>
      <c r="G24" s="115"/>
      <c r="H24" s="115"/>
      <c r="I24" s="115"/>
      <c r="J24" s="115"/>
      <c r="K24" s="115"/>
      <c r="M24" s="115"/>
      <c r="N24" s="115"/>
      <c r="O24" s="115"/>
      <c r="P24" s="115"/>
      <c r="Q24" s="115"/>
      <c r="R24" s="115"/>
      <c r="S24" s="115"/>
      <c r="T24" s="115"/>
      <c r="U24" s="115"/>
      <c r="V24" s="115"/>
      <c r="W24" s="115"/>
      <c r="Y24" s="236"/>
      <c r="Z24" s="237"/>
      <c r="AA24" s="237"/>
      <c r="AB24" s="237"/>
      <c r="AC24" s="237"/>
      <c r="AD24" s="237"/>
      <c r="AE24" s="237"/>
      <c r="AF24" s="237"/>
      <c r="AG24" s="237"/>
      <c r="AH24" s="237"/>
      <c r="AI24" s="238"/>
      <c r="AK24" s="115"/>
      <c r="AL24" s="115"/>
      <c r="AM24" s="115"/>
      <c r="AN24" s="115"/>
      <c r="AO24" s="115"/>
      <c r="AP24" s="115"/>
      <c r="AQ24" s="115"/>
      <c r="AR24" s="115"/>
      <c r="AS24" s="115"/>
      <c r="AT24" s="115"/>
      <c r="AU24" s="115"/>
      <c r="AW24" s="115"/>
      <c r="AX24" s="115"/>
      <c r="AY24" s="115"/>
      <c r="AZ24" s="115"/>
      <c r="BA24" s="115"/>
      <c r="BB24" s="115"/>
      <c r="BC24" s="115"/>
      <c r="BD24" s="115"/>
      <c r="BE24" s="115"/>
      <c r="BF24" s="115"/>
      <c r="BG24" s="115"/>
    </row>
    <row r="25" spans="1:59" x14ac:dyDescent="0.25">
      <c r="A25" s="115"/>
      <c r="B25" s="115"/>
      <c r="C25" s="115"/>
      <c r="D25" s="115"/>
      <c r="E25" s="115"/>
      <c r="F25" s="115"/>
      <c r="G25" s="115"/>
      <c r="H25" s="115"/>
      <c r="I25" s="115"/>
      <c r="J25" s="115"/>
      <c r="K25" s="115"/>
      <c r="M25" s="115"/>
      <c r="N25" s="115"/>
      <c r="O25" s="115"/>
      <c r="P25" s="115"/>
      <c r="Q25" s="115"/>
      <c r="R25" s="115"/>
      <c r="S25" s="115"/>
      <c r="T25" s="115"/>
      <c r="U25" s="115"/>
      <c r="V25" s="115"/>
      <c r="W25" s="115"/>
      <c r="Y25" s="236"/>
      <c r="Z25" s="237"/>
      <c r="AA25" s="237"/>
      <c r="AB25" s="237"/>
      <c r="AC25" s="237"/>
      <c r="AD25" s="237"/>
      <c r="AE25" s="237"/>
      <c r="AF25" s="237"/>
      <c r="AG25" s="237"/>
      <c r="AH25" s="237"/>
      <c r="AI25" s="238"/>
      <c r="AK25" s="115"/>
      <c r="AL25" s="115"/>
      <c r="AM25" s="115"/>
      <c r="AN25" s="115"/>
      <c r="AO25" s="115"/>
      <c r="AP25" s="115"/>
      <c r="AQ25" s="115"/>
      <c r="AR25" s="115"/>
      <c r="AS25" s="115"/>
      <c r="AT25" s="115"/>
      <c r="AU25" s="115"/>
      <c r="AW25" s="115"/>
      <c r="AX25" s="115"/>
      <c r="AY25" s="115"/>
      <c r="AZ25" s="115"/>
      <c r="BA25" s="115"/>
      <c r="BB25" s="115"/>
      <c r="BC25" s="115"/>
      <c r="BD25" s="115"/>
      <c r="BE25" s="115"/>
      <c r="BF25" s="115"/>
      <c r="BG25" s="115"/>
    </row>
    <row r="26" spans="1:59" x14ac:dyDescent="0.25">
      <c r="A26" s="115"/>
      <c r="B26" s="115"/>
      <c r="C26" s="115"/>
      <c r="D26" s="115"/>
      <c r="E26" s="115"/>
      <c r="F26" s="115"/>
      <c r="G26" s="115"/>
      <c r="H26" s="115"/>
      <c r="I26" s="115"/>
      <c r="J26" s="115"/>
      <c r="K26" s="115"/>
      <c r="M26" s="115"/>
      <c r="N26" s="115"/>
      <c r="O26" s="115"/>
      <c r="P26" s="115"/>
      <c r="Q26" s="115"/>
      <c r="R26" s="115"/>
      <c r="S26" s="115"/>
      <c r="T26" s="115"/>
      <c r="U26" s="115"/>
      <c r="V26" s="115"/>
      <c r="W26" s="115"/>
      <c r="Y26" s="236"/>
      <c r="Z26" s="237"/>
      <c r="AA26" s="237"/>
      <c r="AB26" s="237"/>
      <c r="AC26" s="237"/>
      <c r="AD26" s="237"/>
      <c r="AE26" s="237"/>
      <c r="AF26" s="237"/>
      <c r="AG26" s="237"/>
      <c r="AH26" s="237"/>
      <c r="AI26" s="238"/>
      <c r="AK26" s="115"/>
      <c r="AL26" s="115"/>
      <c r="AM26" s="115"/>
      <c r="AN26" s="115"/>
      <c r="AO26" s="115"/>
      <c r="AP26" s="115"/>
      <c r="AQ26" s="115"/>
      <c r="AR26" s="115"/>
      <c r="AS26" s="115"/>
      <c r="AT26" s="115"/>
      <c r="AU26" s="115"/>
      <c r="AW26" s="115"/>
      <c r="AX26" s="115"/>
      <c r="AY26" s="115"/>
      <c r="AZ26" s="115"/>
      <c r="BA26" s="115"/>
      <c r="BB26" s="115"/>
      <c r="BC26" s="115"/>
      <c r="BD26" s="115"/>
      <c r="BE26" s="115"/>
      <c r="BF26" s="115"/>
      <c r="BG26" s="115"/>
    </row>
    <row r="27" spans="1:59" x14ac:dyDescent="0.25">
      <c r="A27" s="115"/>
      <c r="B27" s="115"/>
      <c r="C27" s="115"/>
      <c r="D27" s="115"/>
      <c r="E27" s="115"/>
      <c r="F27" s="115"/>
      <c r="G27" s="115"/>
      <c r="H27" s="115"/>
      <c r="I27" s="115"/>
      <c r="J27" s="115"/>
      <c r="K27" s="115"/>
      <c r="M27" s="115"/>
      <c r="N27" s="115"/>
      <c r="O27" s="115"/>
      <c r="P27" s="115"/>
      <c r="Q27" s="115"/>
      <c r="R27" s="115"/>
      <c r="S27" s="115"/>
      <c r="T27" s="115"/>
      <c r="U27" s="115"/>
      <c r="V27" s="115"/>
      <c r="W27" s="115"/>
      <c r="Y27" s="236"/>
      <c r="Z27" s="237"/>
      <c r="AA27" s="237"/>
      <c r="AB27" s="237"/>
      <c r="AC27" s="237"/>
      <c r="AD27" s="237"/>
      <c r="AE27" s="237"/>
      <c r="AF27" s="237"/>
      <c r="AG27" s="237"/>
      <c r="AH27" s="237"/>
      <c r="AI27" s="238"/>
      <c r="AK27" s="115"/>
      <c r="AL27" s="115"/>
      <c r="AM27" s="115"/>
      <c r="AN27" s="115"/>
      <c r="AO27" s="115"/>
      <c r="AP27" s="115"/>
      <c r="AQ27" s="115"/>
      <c r="AR27" s="115"/>
      <c r="AS27" s="115"/>
      <c r="AT27" s="115"/>
      <c r="AU27" s="115"/>
      <c r="AW27" s="115"/>
      <c r="AX27" s="115"/>
      <c r="AY27" s="115"/>
      <c r="AZ27" s="115"/>
      <c r="BA27" s="115"/>
      <c r="BB27" s="115"/>
      <c r="BC27" s="115"/>
      <c r="BD27" s="115"/>
      <c r="BE27" s="115"/>
      <c r="BF27" s="115"/>
      <c r="BG27" s="115"/>
    </row>
    <row r="28" spans="1:59" x14ac:dyDescent="0.25">
      <c r="A28" s="115"/>
      <c r="B28" s="115"/>
      <c r="C28" s="115"/>
      <c r="D28" s="115"/>
      <c r="E28" s="115"/>
      <c r="F28" s="115"/>
      <c r="G28" s="115"/>
      <c r="H28" s="115"/>
      <c r="I28" s="115"/>
      <c r="J28" s="115"/>
      <c r="K28" s="115"/>
      <c r="M28" s="115"/>
      <c r="N28" s="115"/>
      <c r="O28" s="115"/>
      <c r="P28" s="115"/>
      <c r="Q28" s="115"/>
      <c r="R28" s="115"/>
      <c r="S28" s="115"/>
      <c r="T28" s="115"/>
      <c r="U28" s="115"/>
      <c r="V28" s="115"/>
      <c r="W28" s="115"/>
      <c r="Y28" s="236"/>
      <c r="Z28" s="237"/>
      <c r="AA28" s="237"/>
      <c r="AB28" s="237"/>
      <c r="AC28" s="237"/>
      <c r="AD28" s="237"/>
      <c r="AE28" s="237"/>
      <c r="AF28" s="237"/>
      <c r="AG28" s="237"/>
      <c r="AH28" s="237"/>
      <c r="AI28" s="238"/>
      <c r="AK28" s="115"/>
      <c r="AL28" s="115"/>
      <c r="AM28" s="115"/>
      <c r="AN28" s="115"/>
      <c r="AO28" s="115"/>
      <c r="AP28" s="115"/>
      <c r="AQ28" s="115"/>
      <c r="AR28" s="115"/>
      <c r="AS28" s="115"/>
      <c r="AT28" s="115"/>
      <c r="AU28" s="115"/>
      <c r="AW28" s="115"/>
      <c r="AX28" s="115"/>
      <c r="AY28" s="115"/>
      <c r="AZ28" s="115"/>
      <c r="BA28" s="115"/>
      <c r="BB28" s="115"/>
      <c r="BC28" s="115"/>
      <c r="BD28" s="115"/>
      <c r="BE28" s="115"/>
      <c r="BF28" s="115"/>
      <c r="BG28" s="115"/>
    </row>
    <row r="29" spans="1:59" x14ac:dyDescent="0.25">
      <c r="A29" s="115"/>
      <c r="B29" s="115"/>
      <c r="C29" s="115"/>
      <c r="D29" s="115"/>
      <c r="E29" s="115"/>
      <c r="F29" s="115"/>
      <c r="G29" s="115"/>
      <c r="H29" s="115"/>
      <c r="I29" s="115"/>
      <c r="J29" s="115"/>
      <c r="K29" s="115"/>
      <c r="M29" s="115"/>
      <c r="N29" s="115"/>
      <c r="O29" s="115"/>
      <c r="P29" s="115"/>
      <c r="Q29" s="115"/>
      <c r="R29" s="115"/>
      <c r="S29" s="115"/>
      <c r="T29" s="115"/>
      <c r="U29" s="115"/>
      <c r="V29" s="115"/>
      <c r="W29" s="115"/>
      <c r="Y29" s="236"/>
      <c r="Z29" s="237"/>
      <c r="AA29" s="237"/>
      <c r="AB29" s="237"/>
      <c r="AC29" s="237"/>
      <c r="AD29" s="237"/>
      <c r="AE29" s="237"/>
      <c r="AF29" s="237"/>
      <c r="AG29" s="237"/>
      <c r="AH29" s="237"/>
      <c r="AI29" s="238"/>
      <c r="AK29" s="115"/>
      <c r="AL29" s="115"/>
      <c r="AM29" s="115"/>
      <c r="AN29" s="115"/>
      <c r="AO29" s="115"/>
      <c r="AP29" s="115"/>
      <c r="AQ29" s="115"/>
      <c r="AR29" s="115"/>
      <c r="AS29" s="115"/>
      <c r="AT29" s="115"/>
      <c r="AU29" s="115"/>
      <c r="AW29" s="115"/>
      <c r="AX29" s="115"/>
      <c r="AY29" s="115"/>
      <c r="AZ29" s="115"/>
      <c r="BA29" s="115"/>
      <c r="BB29" s="115"/>
      <c r="BC29" s="115"/>
      <c r="BD29" s="115"/>
      <c r="BE29" s="115"/>
      <c r="BF29" s="115"/>
      <c r="BG29" s="115"/>
    </row>
    <row r="30" spans="1:59" x14ac:dyDescent="0.25">
      <c r="A30" s="115"/>
      <c r="B30" s="115"/>
      <c r="C30" s="115"/>
      <c r="D30" s="115"/>
      <c r="E30" s="115"/>
      <c r="F30" s="115"/>
      <c r="G30" s="115"/>
      <c r="H30" s="115"/>
      <c r="I30" s="115"/>
      <c r="J30" s="115"/>
      <c r="K30" s="115"/>
      <c r="M30" s="115"/>
      <c r="N30" s="115"/>
      <c r="O30" s="115"/>
      <c r="P30" s="115"/>
      <c r="Q30" s="115"/>
      <c r="R30" s="115"/>
      <c r="S30" s="115"/>
      <c r="T30" s="115"/>
      <c r="U30" s="115"/>
      <c r="V30" s="115"/>
      <c r="W30" s="115"/>
      <c r="Y30" s="236"/>
      <c r="Z30" s="237"/>
      <c r="AA30" s="237"/>
      <c r="AB30" s="237"/>
      <c r="AC30" s="237"/>
      <c r="AD30" s="237"/>
      <c r="AE30" s="237"/>
      <c r="AF30" s="237"/>
      <c r="AG30" s="237"/>
      <c r="AH30" s="237"/>
      <c r="AI30" s="238"/>
      <c r="AK30" s="115"/>
      <c r="AL30" s="115"/>
      <c r="AM30" s="115"/>
      <c r="AN30" s="115"/>
      <c r="AO30" s="115"/>
      <c r="AP30" s="115"/>
      <c r="AQ30" s="115"/>
      <c r="AR30" s="115"/>
      <c r="AS30" s="115"/>
      <c r="AT30" s="115"/>
      <c r="AU30" s="115"/>
      <c r="AW30" s="115"/>
      <c r="AX30" s="115"/>
      <c r="AY30" s="115"/>
      <c r="AZ30" s="115"/>
      <c r="BA30" s="115"/>
      <c r="BB30" s="115"/>
      <c r="BC30" s="115"/>
      <c r="BD30" s="115"/>
      <c r="BE30" s="115"/>
      <c r="BF30" s="115"/>
      <c r="BG30" s="115"/>
    </row>
    <row r="31" spans="1:59" x14ac:dyDescent="0.25">
      <c r="A31" s="115"/>
      <c r="B31" s="115"/>
      <c r="C31" s="115"/>
      <c r="D31" s="115"/>
      <c r="E31" s="115"/>
      <c r="F31" s="115"/>
      <c r="G31" s="115"/>
      <c r="H31" s="115"/>
      <c r="I31" s="115"/>
      <c r="J31" s="115"/>
      <c r="K31" s="115"/>
      <c r="M31" s="115"/>
      <c r="N31" s="115"/>
      <c r="O31" s="115"/>
      <c r="P31" s="115"/>
      <c r="Q31" s="115"/>
      <c r="R31" s="115"/>
      <c r="S31" s="115"/>
      <c r="T31" s="115"/>
      <c r="U31" s="115"/>
      <c r="V31" s="115"/>
      <c r="W31" s="115"/>
      <c r="Y31" s="236"/>
      <c r="Z31" s="237"/>
      <c r="AA31" s="237"/>
      <c r="AB31" s="237"/>
      <c r="AC31" s="237"/>
      <c r="AD31" s="237"/>
      <c r="AE31" s="237"/>
      <c r="AF31" s="237"/>
      <c r="AG31" s="237"/>
      <c r="AH31" s="237"/>
      <c r="AI31" s="238"/>
      <c r="AK31" s="115"/>
      <c r="AL31" s="115"/>
      <c r="AM31" s="115"/>
      <c r="AN31" s="115"/>
      <c r="AO31" s="115"/>
      <c r="AP31" s="115"/>
      <c r="AQ31" s="115"/>
      <c r="AR31" s="115"/>
      <c r="AS31" s="115"/>
      <c r="AT31" s="115"/>
      <c r="AU31" s="115"/>
      <c r="AW31" s="115"/>
      <c r="AX31" s="115"/>
      <c r="AY31" s="115"/>
      <c r="AZ31" s="115"/>
      <c r="BA31" s="115"/>
      <c r="BB31" s="115"/>
      <c r="BC31" s="115"/>
      <c r="BD31" s="115"/>
      <c r="BE31" s="115"/>
      <c r="BF31" s="115"/>
      <c r="BG31" s="115"/>
    </row>
    <row r="32" spans="1:59" x14ac:dyDescent="0.25">
      <c r="A32" s="115"/>
      <c r="B32" s="115"/>
      <c r="C32" s="115"/>
      <c r="D32" s="115"/>
      <c r="E32" s="115"/>
      <c r="F32" s="115"/>
      <c r="G32" s="115"/>
      <c r="H32" s="115"/>
      <c r="I32" s="115"/>
      <c r="J32" s="115"/>
      <c r="K32" s="115"/>
      <c r="M32" s="115"/>
      <c r="N32" s="115"/>
      <c r="O32" s="115"/>
      <c r="P32" s="115"/>
      <c r="Q32" s="115"/>
      <c r="R32" s="115"/>
      <c r="S32" s="115"/>
      <c r="T32" s="115"/>
      <c r="U32" s="115"/>
      <c r="V32" s="115"/>
      <c r="W32" s="115"/>
      <c r="Y32" s="236"/>
      <c r="Z32" s="237"/>
      <c r="AA32" s="237"/>
      <c r="AB32" s="237"/>
      <c r="AC32" s="237"/>
      <c r="AD32" s="237"/>
      <c r="AE32" s="237"/>
      <c r="AF32" s="237"/>
      <c r="AG32" s="237"/>
      <c r="AH32" s="237"/>
      <c r="AI32" s="238"/>
      <c r="AK32" s="115"/>
      <c r="AL32" s="115"/>
      <c r="AM32" s="115"/>
      <c r="AN32" s="115"/>
      <c r="AO32" s="115"/>
      <c r="AP32" s="115"/>
      <c r="AQ32" s="115"/>
      <c r="AR32" s="115"/>
      <c r="AS32" s="115"/>
      <c r="AT32" s="115"/>
      <c r="AU32" s="115"/>
      <c r="AW32" s="115"/>
      <c r="AX32" s="115"/>
      <c r="AY32" s="115"/>
      <c r="AZ32" s="115"/>
      <c r="BA32" s="115"/>
      <c r="BB32" s="115"/>
      <c r="BC32" s="115"/>
      <c r="BD32" s="115"/>
      <c r="BE32" s="115"/>
      <c r="BF32" s="115"/>
      <c r="BG32" s="115"/>
    </row>
    <row r="33" spans="1:59" x14ac:dyDescent="0.25">
      <c r="A33" s="115"/>
      <c r="B33" s="115"/>
      <c r="C33" s="115"/>
      <c r="D33" s="115"/>
      <c r="E33" s="115"/>
      <c r="F33" s="115"/>
      <c r="G33" s="115"/>
      <c r="H33" s="115"/>
      <c r="I33" s="115"/>
      <c r="J33" s="115"/>
      <c r="K33" s="115"/>
      <c r="M33" s="115"/>
      <c r="N33" s="115"/>
      <c r="O33" s="115"/>
      <c r="P33" s="115"/>
      <c r="Q33" s="115"/>
      <c r="R33" s="115"/>
      <c r="S33" s="115"/>
      <c r="T33" s="115"/>
      <c r="U33" s="115"/>
      <c r="V33" s="115"/>
      <c r="W33" s="115"/>
      <c r="Y33" s="236"/>
      <c r="Z33" s="237"/>
      <c r="AA33" s="237"/>
      <c r="AB33" s="237"/>
      <c r="AC33" s="237"/>
      <c r="AD33" s="237"/>
      <c r="AE33" s="237"/>
      <c r="AF33" s="237"/>
      <c r="AG33" s="237"/>
      <c r="AH33" s="237"/>
      <c r="AI33" s="238"/>
      <c r="AK33" s="115"/>
      <c r="AL33" s="115"/>
      <c r="AM33" s="115"/>
      <c r="AN33" s="115"/>
      <c r="AO33" s="115"/>
      <c r="AP33" s="115"/>
      <c r="AQ33" s="115"/>
      <c r="AR33" s="115"/>
      <c r="AS33" s="115"/>
      <c r="AT33" s="115"/>
      <c r="AU33" s="115"/>
      <c r="AW33" s="115"/>
      <c r="AX33" s="115"/>
      <c r="AY33" s="115"/>
      <c r="AZ33" s="115"/>
      <c r="BA33" s="115"/>
      <c r="BB33" s="115"/>
      <c r="BC33" s="115"/>
      <c r="BD33" s="115"/>
      <c r="BE33" s="115"/>
      <c r="BF33" s="115"/>
      <c r="BG33" s="115"/>
    </row>
    <row r="34" spans="1:59" x14ac:dyDescent="0.25">
      <c r="A34" s="115"/>
      <c r="B34" s="115"/>
      <c r="C34" s="115"/>
      <c r="D34" s="115"/>
      <c r="E34" s="115"/>
      <c r="F34" s="115"/>
      <c r="G34" s="115"/>
      <c r="H34" s="115"/>
      <c r="I34" s="115"/>
      <c r="J34" s="115"/>
      <c r="K34" s="115"/>
      <c r="M34" s="115"/>
      <c r="N34" s="115"/>
      <c r="O34" s="115"/>
      <c r="P34" s="115"/>
      <c r="Q34" s="115"/>
      <c r="R34" s="115"/>
      <c r="S34" s="115"/>
      <c r="T34" s="115"/>
      <c r="U34" s="115"/>
      <c r="V34" s="115"/>
      <c r="W34" s="115"/>
      <c r="Y34" s="239"/>
      <c r="Z34" s="240"/>
      <c r="AA34" s="240"/>
      <c r="AB34" s="240"/>
      <c r="AC34" s="240"/>
      <c r="AD34" s="240"/>
      <c r="AE34" s="240"/>
      <c r="AF34" s="240"/>
      <c r="AG34" s="240"/>
      <c r="AH34" s="240"/>
      <c r="AI34" s="241"/>
      <c r="AK34" s="115"/>
      <c r="AL34" s="115"/>
      <c r="AM34" s="115"/>
      <c r="AN34" s="115"/>
      <c r="AO34" s="115"/>
      <c r="AP34" s="115"/>
      <c r="AQ34" s="115"/>
      <c r="AR34" s="115"/>
      <c r="AS34" s="115"/>
      <c r="AT34" s="115"/>
      <c r="AU34" s="115"/>
      <c r="AW34" s="115"/>
      <c r="AX34" s="115"/>
      <c r="AY34" s="115"/>
      <c r="AZ34" s="115"/>
      <c r="BA34" s="115"/>
      <c r="BB34" s="115"/>
      <c r="BC34" s="115"/>
      <c r="BD34" s="115"/>
      <c r="BE34" s="115"/>
      <c r="BF34" s="115"/>
      <c r="BG34" s="115"/>
    </row>
    <row r="35" spans="1:59" x14ac:dyDescent="0.25">
      <c r="A35" s="115"/>
      <c r="B35" s="115"/>
      <c r="C35" s="115"/>
      <c r="D35" s="115"/>
      <c r="E35" s="115"/>
      <c r="F35" s="115"/>
      <c r="G35" s="115"/>
      <c r="H35" s="115"/>
      <c r="I35" s="115"/>
      <c r="J35" s="115"/>
      <c r="K35" s="115"/>
      <c r="M35" s="115"/>
      <c r="N35" s="115"/>
      <c r="O35" s="115"/>
      <c r="P35" s="115"/>
      <c r="Q35" s="115"/>
      <c r="R35" s="115"/>
      <c r="S35" s="115"/>
      <c r="T35" s="115"/>
      <c r="U35" s="115"/>
      <c r="V35" s="115"/>
      <c r="W35" s="115"/>
      <c r="Y35" s="218" t="s">
        <v>327</v>
      </c>
      <c r="Z35" s="218"/>
      <c r="AA35" s="218"/>
      <c r="AB35" s="218"/>
      <c r="AC35" s="218"/>
      <c r="AD35" s="218"/>
      <c r="AE35" s="218"/>
      <c r="AF35" s="218"/>
      <c r="AG35" s="218"/>
      <c r="AH35" s="218"/>
      <c r="AI35" s="117" t="str">
        <f>IF(COUNTIF(AI37:AI41, "="&amp;IncompleteText), IncompleteText, IF(COUNTIF(AI37:AI41, "="&amp;ErrorText), ErrorText, OKText))</f>
        <v>BLANK</v>
      </c>
      <c r="AK35" s="218" t="s">
        <v>346</v>
      </c>
      <c r="AL35" s="218"/>
      <c r="AM35" s="218"/>
      <c r="AN35" s="218"/>
      <c r="AO35" s="218"/>
      <c r="AP35" s="218"/>
      <c r="AQ35" s="218"/>
      <c r="AR35" s="218"/>
      <c r="AS35" s="218"/>
      <c r="AT35" s="218"/>
      <c r="AU35" s="117" t="str">
        <f>IF(COUNTIF(AU37:AU48, "="&amp;IncompleteText), IncompleteText, IF(COUNTIF(AU37:AU48, "="&amp;ErrorText), ErrorText, OKText))</f>
        <v>BLANK</v>
      </c>
    </row>
    <row r="36" spans="1:59" x14ac:dyDescent="0.25">
      <c r="A36" s="220" t="s">
        <v>232</v>
      </c>
      <c r="B36" s="220"/>
      <c r="C36" s="218" t="s">
        <v>299</v>
      </c>
      <c r="D36" s="218"/>
      <c r="E36" s="218"/>
      <c r="F36" s="218"/>
      <c r="G36" s="218"/>
      <c r="H36" s="218"/>
      <c r="I36" s="218"/>
      <c r="J36" s="218"/>
      <c r="K36" s="117" t="str">
        <f>IF(COUNTIF(K38:K62, "="&amp;IncompleteText), IncompleteText, IF(COUNTIF(K38:K62, "="&amp;ErrorText), ErrorText, OKText))</f>
        <v>BLANK</v>
      </c>
      <c r="M36" s="218" t="s">
        <v>322</v>
      </c>
      <c r="N36" s="218"/>
      <c r="O36" s="218"/>
      <c r="P36" s="218"/>
      <c r="Q36" s="218"/>
      <c r="R36" s="218"/>
      <c r="S36" s="218"/>
      <c r="T36" s="218"/>
      <c r="U36" s="218"/>
      <c r="V36" s="218"/>
      <c r="W36" s="117" t="str">
        <f>IF(COUNTIF(W38:W41, "="&amp;IncompleteText), IncompleteText, IF(COUNTIF(W38:W41, "="&amp;ErrorText), ErrorText, OKText))</f>
        <v>BLANK</v>
      </c>
      <c r="Y36" s="219"/>
      <c r="Z36" s="219"/>
      <c r="AA36" s="219"/>
      <c r="AB36" s="219"/>
      <c r="AC36" s="219"/>
      <c r="AD36" s="219"/>
      <c r="AE36" s="219"/>
      <c r="AF36" s="219"/>
      <c r="AG36" s="219"/>
      <c r="AH36" s="219"/>
      <c r="AI36" s="255"/>
      <c r="AK36" s="78"/>
      <c r="AL36" s="78"/>
      <c r="AM36" s="78"/>
      <c r="AN36" s="78"/>
      <c r="AO36" s="78"/>
      <c r="AP36" s="78"/>
      <c r="AQ36" s="78"/>
      <c r="AR36" s="78"/>
      <c r="AS36" s="78"/>
      <c r="AT36" s="78"/>
      <c r="AU36" s="96"/>
      <c r="AW36" s="232" t="s">
        <v>374</v>
      </c>
      <c r="AX36" s="94"/>
      <c r="AY36" s="94"/>
      <c r="AZ36" s="94"/>
      <c r="BA36" s="94"/>
      <c r="BB36" s="94"/>
      <c r="BC36" s="94"/>
      <c r="BD36" s="94"/>
      <c r="BE36" s="94"/>
      <c r="BF36" s="94"/>
      <c r="BG36" s="94"/>
    </row>
    <row r="37" spans="1:59" ht="16.2" customHeight="1" x14ac:dyDescent="0.25">
      <c r="A37" s="249"/>
      <c r="B37" s="249"/>
      <c r="C37" s="219"/>
      <c r="D37" s="219"/>
      <c r="E37" s="219"/>
      <c r="F37" s="219"/>
      <c r="G37" s="219"/>
      <c r="H37" s="219"/>
      <c r="I37" s="219"/>
      <c r="J37" s="219"/>
      <c r="K37" s="96"/>
      <c r="M37" s="78"/>
      <c r="N37" s="78"/>
      <c r="O37" s="78"/>
      <c r="P37" s="78"/>
      <c r="Q37" s="78"/>
      <c r="R37" s="78"/>
      <c r="S37" s="78"/>
      <c r="T37" s="78"/>
      <c r="U37" s="78"/>
      <c r="V37" s="78"/>
      <c r="W37" s="96"/>
      <c r="Y37" s="157" t="s">
        <v>544</v>
      </c>
      <c r="Z37" s="157"/>
      <c r="AA37" s="157"/>
      <c r="AB37" s="157"/>
      <c r="AC37" s="157"/>
      <c r="AD37" s="157"/>
      <c r="AE37" s="157"/>
      <c r="AF37" s="157"/>
      <c r="AG37" s="158"/>
      <c r="AH37" s="47"/>
      <c r="AI37" s="49" t="str">
        <f>IF(ISBLANK(AH37),IncompleteText, IF(AH37, OKText, ErrorText))</f>
        <v>BLANK</v>
      </c>
      <c r="AK37" s="150" t="s">
        <v>347</v>
      </c>
      <c r="AL37" s="150"/>
      <c r="AM37" s="150"/>
      <c r="AN37" s="150"/>
      <c r="AO37" s="150"/>
      <c r="AP37" s="150"/>
      <c r="AQ37" s="150"/>
      <c r="AR37" s="150"/>
      <c r="AS37" s="151"/>
      <c r="AT37" s="6"/>
      <c r="AU37" s="49" t="str">
        <f>IF(ISBLANK(AT37),IncompleteText,OKText)</f>
        <v>BLANK</v>
      </c>
      <c r="AW37" s="233"/>
      <c r="AX37" s="234"/>
      <c r="AY37" s="234"/>
      <c r="AZ37" s="234"/>
      <c r="BA37" s="234"/>
      <c r="BB37" s="234"/>
      <c r="BC37" s="234"/>
      <c r="BD37" s="234"/>
      <c r="BE37" s="234"/>
      <c r="BF37" s="234"/>
      <c r="BG37" s="235"/>
    </row>
    <row r="38" spans="1:59" x14ac:dyDescent="0.25">
      <c r="A38" s="121" t="s">
        <v>531</v>
      </c>
      <c r="B38" s="121"/>
      <c r="C38" s="150" t="s">
        <v>34</v>
      </c>
      <c r="D38" s="150"/>
      <c r="E38" s="150"/>
      <c r="F38" s="150"/>
      <c r="G38" s="150"/>
      <c r="H38" s="150"/>
      <c r="I38" s="151"/>
      <c r="J38" s="5"/>
      <c r="K38" s="49" t="str">
        <f t="shared" ref="K38:K62" si="0">IF(ISBLANK(J38),IncompleteText, IF(J38, OKText, ErrorText))</f>
        <v>BLANK</v>
      </c>
      <c r="M38" s="106" t="s">
        <v>323</v>
      </c>
      <c r="N38" s="106"/>
      <c r="O38" s="106"/>
      <c r="P38" s="106"/>
      <c r="Q38" s="106"/>
      <c r="R38" s="106"/>
      <c r="S38" s="106"/>
      <c r="T38" s="106"/>
      <c r="U38" s="109"/>
      <c r="V38" s="5"/>
      <c r="W38" s="49" t="str">
        <f>IF(ISBLANK(V38),IncompleteText, IF(V38, OKText, ErrorText))</f>
        <v>BLANK</v>
      </c>
      <c r="Y38" s="150" t="s">
        <v>328</v>
      </c>
      <c r="Z38" s="150"/>
      <c r="AA38" s="150"/>
      <c r="AB38" s="150"/>
      <c r="AC38" s="150"/>
      <c r="AD38" s="150"/>
      <c r="AE38" s="150"/>
      <c r="AF38" s="150"/>
      <c r="AG38" s="151"/>
      <c r="AH38" s="47"/>
      <c r="AI38" s="49" t="str">
        <f>IF(ISBLANK(AH38),IncompleteText, IF(AH38, OKText, ErrorText))</f>
        <v>BLANK</v>
      </c>
      <c r="AK38" s="150" t="s">
        <v>469</v>
      </c>
      <c r="AL38" s="150"/>
      <c r="AM38" s="150"/>
      <c r="AN38" s="150"/>
      <c r="AO38" s="150"/>
      <c r="AP38" s="150"/>
      <c r="AQ38" s="150"/>
      <c r="AR38" s="150"/>
      <c r="AS38" s="151"/>
      <c r="AT38" s="5"/>
      <c r="AU38" s="49" t="str">
        <f>IF(AT$37="车队自制原理 team made",OKText,IF(ISBLANK(AT38),IncompleteText, IF(AT38, OKText, ErrorText)))</f>
        <v>BLANK</v>
      </c>
      <c r="AW38" s="236"/>
      <c r="AX38" s="237"/>
      <c r="AY38" s="237"/>
      <c r="AZ38" s="237"/>
      <c r="BA38" s="237"/>
      <c r="BB38" s="237"/>
      <c r="BC38" s="237"/>
      <c r="BD38" s="237"/>
      <c r="BE38" s="237"/>
      <c r="BF38" s="237"/>
      <c r="BG38" s="238"/>
    </row>
    <row r="39" spans="1:59" x14ac:dyDescent="0.25">
      <c r="A39" s="121" t="s">
        <v>530</v>
      </c>
      <c r="B39" s="121"/>
      <c r="C39" s="150" t="s">
        <v>33</v>
      </c>
      <c r="D39" s="150"/>
      <c r="E39" s="150"/>
      <c r="F39" s="150"/>
      <c r="G39" s="150"/>
      <c r="H39" s="150"/>
      <c r="I39" s="151"/>
      <c r="J39" s="5"/>
      <c r="K39" s="49" t="str">
        <f t="shared" si="0"/>
        <v>BLANK</v>
      </c>
      <c r="M39" s="106" t="s">
        <v>324</v>
      </c>
      <c r="N39" s="106"/>
      <c r="O39" s="106"/>
      <c r="P39" s="106"/>
      <c r="Q39" s="106"/>
      <c r="R39" s="106"/>
      <c r="S39" s="106"/>
      <c r="T39" s="106"/>
      <c r="U39" s="109"/>
      <c r="V39" s="5"/>
      <c r="W39" s="49" t="str">
        <f>IF(ISBLANK(V39),IncompleteText, IF(V39, OKText, ErrorText))</f>
        <v>BLANK</v>
      </c>
      <c r="Y39" s="150" t="s">
        <v>329</v>
      </c>
      <c r="Z39" s="150"/>
      <c r="AA39" s="150"/>
      <c r="AB39" s="150"/>
      <c r="AC39" s="150"/>
      <c r="AD39" s="150"/>
      <c r="AE39" s="150"/>
      <c r="AF39" s="150"/>
      <c r="AG39" s="151"/>
      <c r="AH39" s="47"/>
      <c r="AI39" s="49" t="str">
        <f>IF(ISBLANK(AH39),IncompleteText, IF(AH39, OKText, ErrorText))</f>
        <v>BLANK</v>
      </c>
      <c r="AK39" s="150" t="s">
        <v>348</v>
      </c>
      <c r="AL39" s="150"/>
      <c r="AM39" s="150"/>
      <c r="AN39" s="150"/>
      <c r="AO39" s="150"/>
      <c r="AP39" s="150"/>
      <c r="AQ39" s="150"/>
      <c r="AR39" s="150"/>
      <c r="AS39" s="151"/>
      <c r="AT39" s="32"/>
      <c r="AU39" s="49" t="str">
        <f>IF(AT$37="车队自制原理 team made",OKText,IF(ISBLANK(AT39),IncompleteText, IF(AT39, OKText, ErrorText)))</f>
        <v>BLANK</v>
      </c>
      <c r="AW39" s="236"/>
      <c r="AX39" s="237"/>
      <c r="AY39" s="237"/>
      <c r="AZ39" s="237"/>
      <c r="BA39" s="237"/>
      <c r="BB39" s="237"/>
      <c r="BC39" s="237"/>
      <c r="BD39" s="237"/>
      <c r="BE39" s="237"/>
      <c r="BF39" s="237"/>
      <c r="BG39" s="238"/>
    </row>
    <row r="40" spans="1:59" x14ac:dyDescent="0.25">
      <c r="A40" s="121" t="s">
        <v>532</v>
      </c>
      <c r="B40" s="121"/>
      <c r="C40" s="150" t="s">
        <v>300</v>
      </c>
      <c r="D40" s="150"/>
      <c r="E40" s="150"/>
      <c r="F40" s="150"/>
      <c r="G40" s="150"/>
      <c r="H40" s="150"/>
      <c r="I40" s="151"/>
      <c r="J40" s="5"/>
      <c r="K40" s="49" t="str">
        <f t="shared" si="0"/>
        <v>BLANK</v>
      </c>
      <c r="M40" s="106" t="s">
        <v>325</v>
      </c>
      <c r="N40" s="106"/>
      <c r="O40" s="106"/>
      <c r="P40" s="106"/>
      <c r="Q40" s="106"/>
      <c r="R40" s="106"/>
      <c r="S40" s="106"/>
      <c r="T40" s="106"/>
      <c r="U40" s="109"/>
      <c r="V40" s="5"/>
      <c r="W40" s="49" t="str">
        <f>IF(ISBLANK(V40),IncompleteText, IF(V40, OKText, ErrorText))</f>
        <v>BLANK</v>
      </c>
      <c r="Y40" s="150" t="s">
        <v>330</v>
      </c>
      <c r="Z40" s="150"/>
      <c r="AA40" s="150"/>
      <c r="AB40" s="150"/>
      <c r="AC40" s="150"/>
      <c r="AD40" s="150"/>
      <c r="AE40" s="150"/>
      <c r="AF40" s="150"/>
      <c r="AG40" s="151"/>
      <c r="AH40" s="47"/>
      <c r="AI40" s="49" t="str">
        <f>IF(ISBLANK(AH40),IncompleteText, IF(AH40, OKText, ErrorText))</f>
        <v>BLANK</v>
      </c>
      <c r="AK40" s="150" t="s">
        <v>349</v>
      </c>
      <c r="AL40" s="150"/>
      <c r="AM40" s="150"/>
      <c r="AN40" s="150"/>
      <c r="AO40" s="150"/>
      <c r="AP40" s="150"/>
      <c r="AQ40" s="150"/>
      <c r="AR40" s="150"/>
      <c r="AS40" s="151"/>
      <c r="AT40" s="5"/>
      <c r="AU40" s="49" t="str">
        <f>IF(AT$37="供应商 purchased",OKText,IF(ISBLANK(AT40),IncompleteText, IF(AT40, OKText, ErrorText)))</f>
        <v>BLANK</v>
      </c>
      <c r="AW40" s="236"/>
      <c r="AX40" s="237"/>
      <c r="AY40" s="237"/>
      <c r="AZ40" s="237"/>
      <c r="BA40" s="237"/>
      <c r="BB40" s="237"/>
      <c r="BC40" s="237"/>
      <c r="BD40" s="237"/>
      <c r="BE40" s="237"/>
      <c r="BF40" s="237"/>
      <c r="BG40" s="238"/>
    </row>
    <row r="41" spans="1:59" ht="19.2" customHeight="1" x14ac:dyDescent="0.25">
      <c r="A41" s="121" t="s">
        <v>532</v>
      </c>
      <c r="B41" s="121"/>
      <c r="C41" s="150" t="s">
        <v>301</v>
      </c>
      <c r="D41" s="150"/>
      <c r="E41" s="150"/>
      <c r="F41" s="150"/>
      <c r="G41" s="150"/>
      <c r="H41" s="150"/>
      <c r="I41" s="151"/>
      <c r="J41" s="5"/>
      <c r="K41" s="49" t="str">
        <f t="shared" si="0"/>
        <v>BLANK</v>
      </c>
      <c r="M41" s="106" t="s">
        <v>326</v>
      </c>
      <c r="N41" s="106"/>
      <c r="O41" s="106"/>
      <c r="P41" s="106"/>
      <c r="Q41" s="106"/>
      <c r="R41" s="106"/>
      <c r="S41" s="106"/>
      <c r="T41" s="106"/>
      <c r="U41" s="109"/>
      <c r="V41" s="5"/>
      <c r="W41" s="49" t="str">
        <f>IF(ISBLANK(V41),IncompleteText, IF(V41, OKText, ErrorText))</f>
        <v>BLANK</v>
      </c>
      <c r="Y41" s="157" t="s">
        <v>331</v>
      </c>
      <c r="Z41" s="157"/>
      <c r="AA41" s="157"/>
      <c r="AB41" s="157"/>
      <c r="AC41" s="157"/>
      <c r="AD41" s="157"/>
      <c r="AE41" s="157"/>
      <c r="AF41" s="157"/>
      <c r="AG41" s="158"/>
      <c r="AH41" s="47"/>
      <c r="AI41" s="52" t="str">
        <f>IF(ISBLANK(AH41),IncompleteText, IF(AH41, OKText, ErrorText))</f>
        <v>BLANK</v>
      </c>
      <c r="AK41" s="157" t="s">
        <v>370</v>
      </c>
      <c r="AL41" s="157"/>
      <c r="AM41" s="157"/>
      <c r="AN41" s="157"/>
      <c r="AO41" s="157"/>
      <c r="AP41" s="157"/>
      <c r="AQ41" s="157"/>
      <c r="AR41" s="157"/>
      <c r="AS41" s="158"/>
      <c r="AT41" s="70"/>
      <c r="AU41" s="49" t="str">
        <f>IF(AT$37="供应商 purchased",OKText,IF(ISBLANK(AT41),IncompleteText, IF(AT41, OKText, ErrorText)))</f>
        <v>BLANK</v>
      </c>
      <c r="AW41" s="236"/>
      <c r="AX41" s="237"/>
      <c r="AY41" s="237"/>
      <c r="AZ41" s="237"/>
      <c r="BA41" s="237"/>
      <c r="BB41" s="237"/>
      <c r="BC41" s="237"/>
      <c r="BD41" s="237"/>
      <c r="BE41" s="237"/>
      <c r="BF41" s="237"/>
      <c r="BG41" s="238"/>
    </row>
    <row r="42" spans="1:59" x14ac:dyDescent="0.25">
      <c r="A42" s="121" t="s">
        <v>533</v>
      </c>
      <c r="B42" s="121"/>
      <c r="C42" s="150" t="s">
        <v>302</v>
      </c>
      <c r="D42" s="150"/>
      <c r="E42" s="150"/>
      <c r="F42" s="150"/>
      <c r="G42" s="150"/>
      <c r="H42" s="150"/>
      <c r="I42" s="151"/>
      <c r="J42" s="5"/>
      <c r="K42" s="49" t="str">
        <f t="shared" si="0"/>
        <v>BLANK</v>
      </c>
      <c r="M42" s="105" t="s">
        <v>210</v>
      </c>
      <c r="N42" s="105"/>
      <c r="O42" s="105"/>
      <c r="P42" s="105"/>
      <c r="Q42" s="105"/>
      <c r="R42" s="105"/>
      <c r="S42" s="105"/>
      <c r="T42" s="105"/>
      <c r="U42" s="105"/>
      <c r="V42" s="227" t="s">
        <v>232</v>
      </c>
      <c r="W42" s="228"/>
      <c r="Y42" s="105" t="s">
        <v>210</v>
      </c>
      <c r="Z42" s="105"/>
      <c r="AA42" s="105"/>
      <c r="AB42" s="105"/>
      <c r="AC42" s="105"/>
      <c r="AD42" s="105"/>
      <c r="AE42" s="105"/>
      <c r="AF42" s="105"/>
      <c r="AG42" s="267"/>
      <c r="AH42" s="262" t="s">
        <v>232</v>
      </c>
      <c r="AI42" s="263"/>
      <c r="AK42" s="150" t="s">
        <v>350</v>
      </c>
      <c r="AL42" s="150"/>
      <c r="AM42" s="150"/>
      <c r="AN42" s="150"/>
      <c r="AO42" s="150"/>
      <c r="AP42" s="150"/>
      <c r="AQ42" s="150"/>
      <c r="AR42" s="150"/>
      <c r="AS42" s="151"/>
      <c r="AT42" s="5"/>
      <c r="AU42" s="49" t="str">
        <f>IF(AT$37="供应商 purchased",OKText,IF(ISBLANK(AT42),IncompleteText, IF(ISBLANK(AT42), ErrorText,OKText)))</f>
        <v>BLANK</v>
      </c>
      <c r="AW42" s="236"/>
      <c r="AX42" s="237"/>
      <c r="AY42" s="237"/>
      <c r="AZ42" s="237"/>
      <c r="BA42" s="237"/>
      <c r="BB42" s="237"/>
      <c r="BC42" s="237"/>
      <c r="BD42" s="237"/>
      <c r="BE42" s="237"/>
      <c r="BF42" s="237"/>
      <c r="BG42" s="238"/>
    </row>
    <row r="43" spans="1:59" ht="13.95" customHeight="1" x14ac:dyDescent="0.25">
      <c r="A43" s="121" t="s">
        <v>534</v>
      </c>
      <c r="B43" s="121"/>
      <c r="C43" s="150" t="s">
        <v>303</v>
      </c>
      <c r="D43" s="150"/>
      <c r="E43" s="150"/>
      <c r="F43" s="150"/>
      <c r="G43" s="150"/>
      <c r="H43" s="150"/>
      <c r="I43" s="151"/>
      <c r="J43" s="5"/>
      <c r="K43" s="49" t="str">
        <f t="shared" si="0"/>
        <v>BLANK</v>
      </c>
      <c r="M43" s="229"/>
      <c r="N43" s="230"/>
      <c r="O43" s="230"/>
      <c r="P43" s="230"/>
      <c r="Q43" s="230"/>
      <c r="R43" s="230"/>
      <c r="S43" s="230"/>
      <c r="T43" s="230"/>
      <c r="U43" s="230"/>
      <c r="V43" s="200" t="s">
        <v>529</v>
      </c>
      <c r="W43" s="198"/>
      <c r="Y43" s="193"/>
      <c r="Z43" s="125"/>
      <c r="AA43" s="125"/>
      <c r="AB43" s="125"/>
      <c r="AC43" s="125"/>
      <c r="AD43" s="125"/>
      <c r="AE43" s="125"/>
      <c r="AF43" s="125"/>
      <c r="AG43" s="264"/>
      <c r="AH43" s="256" t="s">
        <v>546</v>
      </c>
      <c r="AI43" s="257"/>
      <c r="AK43" s="150" t="s">
        <v>351</v>
      </c>
      <c r="AL43" s="150"/>
      <c r="AM43" s="150"/>
      <c r="AN43" s="150"/>
      <c r="AO43" s="150"/>
      <c r="AP43" s="150"/>
      <c r="AQ43" s="150"/>
      <c r="AR43" s="150"/>
      <c r="AS43" s="151"/>
      <c r="AT43" s="5"/>
      <c r="AU43" s="49" t="str">
        <f>IF(AT$37="供应商 purchased",OKText,IF(ISBLANK(AT43),IncompleteText, IF(AT43, OKText, ErrorText)))</f>
        <v>BLANK</v>
      </c>
      <c r="AW43" s="236"/>
      <c r="AX43" s="237"/>
      <c r="AY43" s="237"/>
      <c r="AZ43" s="237"/>
      <c r="BA43" s="237"/>
      <c r="BB43" s="237"/>
      <c r="BC43" s="237"/>
      <c r="BD43" s="237"/>
      <c r="BE43" s="237"/>
      <c r="BF43" s="237"/>
      <c r="BG43" s="238"/>
    </row>
    <row r="44" spans="1:59" x14ac:dyDescent="0.25">
      <c r="A44" s="121" t="s">
        <v>535</v>
      </c>
      <c r="B44" s="121"/>
      <c r="C44" s="150" t="s">
        <v>304</v>
      </c>
      <c r="D44" s="150"/>
      <c r="E44" s="150"/>
      <c r="F44" s="150"/>
      <c r="G44" s="150"/>
      <c r="H44" s="150"/>
      <c r="I44" s="151"/>
      <c r="J44" s="5"/>
      <c r="K44" s="49" t="str">
        <f t="shared" si="0"/>
        <v>BLANK</v>
      </c>
      <c r="M44" s="229"/>
      <c r="N44" s="230"/>
      <c r="O44" s="230"/>
      <c r="P44" s="230"/>
      <c r="Q44" s="230"/>
      <c r="R44" s="230"/>
      <c r="S44" s="230"/>
      <c r="T44" s="230"/>
      <c r="U44" s="230"/>
      <c r="V44" s="198"/>
      <c r="W44" s="198"/>
      <c r="Y44" s="193"/>
      <c r="Z44" s="125"/>
      <c r="AA44" s="125"/>
      <c r="AB44" s="125"/>
      <c r="AC44" s="125"/>
      <c r="AD44" s="125"/>
      <c r="AE44" s="125"/>
      <c r="AF44" s="125"/>
      <c r="AG44" s="264"/>
      <c r="AH44" s="258"/>
      <c r="AI44" s="259"/>
      <c r="AK44" s="150" t="s">
        <v>352</v>
      </c>
      <c r="AL44" s="150"/>
      <c r="AM44" s="150"/>
      <c r="AN44" s="150"/>
      <c r="AO44" s="150"/>
      <c r="AP44" s="150"/>
      <c r="AQ44" s="150"/>
      <c r="AR44" s="150"/>
      <c r="AS44" s="151"/>
      <c r="AT44" s="5"/>
      <c r="AU44" s="49" t="str">
        <f>IF(ISBLANK(AT44),IncompleteText, IF(ISBLANK(AT44), ErrorText,OKText))</f>
        <v>BLANK</v>
      </c>
      <c r="AW44" s="236"/>
      <c r="AX44" s="237"/>
      <c r="AY44" s="237"/>
      <c r="AZ44" s="237"/>
      <c r="BA44" s="237"/>
      <c r="BB44" s="237"/>
      <c r="BC44" s="237"/>
      <c r="BD44" s="237"/>
      <c r="BE44" s="237"/>
      <c r="BF44" s="237"/>
      <c r="BG44" s="238"/>
    </row>
    <row r="45" spans="1:59" x14ac:dyDescent="0.25">
      <c r="A45" s="121" t="s">
        <v>535</v>
      </c>
      <c r="B45" s="121"/>
      <c r="C45" s="150" t="s">
        <v>305</v>
      </c>
      <c r="D45" s="150"/>
      <c r="E45" s="150"/>
      <c r="F45" s="150"/>
      <c r="G45" s="150"/>
      <c r="H45" s="150"/>
      <c r="I45" s="151"/>
      <c r="J45" s="5"/>
      <c r="K45" s="49" t="str">
        <f t="shared" si="0"/>
        <v>BLANK</v>
      </c>
      <c r="M45" s="229"/>
      <c r="N45" s="230"/>
      <c r="O45" s="230"/>
      <c r="P45" s="230"/>
      <c r="Q45" s="230"/>
      <c r="R45" s="230"/>
      <c r="S45" s="230"/>
      <c r="T45" s="230"/>
      <c r="U45" s="230"/>
      <c r="V45" s="198"/>
      <c r="W45" s="198"/>
      <c r="Y45" s="193"/>
      <c r="Z45" s="125"/>
      <c r="AA45" s="125"/>
      <c r="AB45" s="125"/>
      <c r="AC45" s="125"/>
      <c r="AD45" s="125"/>
      <c r="AE45" s="125"/>
      <c r="AF45" s="125"/>
      <c r="AG45" s="264"/>
      <c r="AH45" s="258"/>
      <c r="AI45" s="259"/>
      <c r="AK45" s="150" t="s">
        <v>353</v>
      </c>
      <c r="AL45" s="150"/>
      <c r="AM45" s="150"/>
      <c r="AN45" s="150"/>
      <c r="AO45" s="150"/>
      <c r="AP45" s="150"/>
      <c r="AQ45" s="150"/>
      <c r="AR45" s="150"/>
      <c r="AS45" s="151"/>
      <c r="AT45" s="73" t="e">
        <f>VLOOKUP(AT44,FuseTable,2,FALSE)</f>
        <v>#N/A</v>
      </c>
      <c r="AU45" s="49" t="str">
        <f>IF(ISNA(AT45),IncompleteText, OKText)</f>
        <v>BLANK</v>
      </c>
      <c r="AW45" s="236"/>
      <c r="AX45" s="237"/>
      <c r="AY45" s="237"/>
      <c r="AZ45" s="237"/>
      <c r="BA45" s="237"/>
      <c r="BB45" s="237"/>
      <c r="BC45" s="237"/>
      <c r="BD45" s="237"/>
      <c r="BE45" s="237"/>
      <c r="BF45" s="237"/>
      <c r="BG45" s="238"/>
    </row>
    <row r="46" spans="1:59" ht="17.399999999999999" customHeight="1" x14ac:dyDescent="0.25">
      <c r="A46" s="121" t="s">
        <v>529</v>
      </c>
      <c r="B46" s="121"/>
      <c r="C46" s="150" t="s">
        <v>32</v>
      </c>
      <c r="D46" s="150"/>
      <c r="E46" s="150"/>
      <c r="F46" s="150"/>
      <c r="G46" s="150"/>
      <c r="H46" s="150"/>
      <c r="I46" s="151"/>
      <c r="J46" s="5"/>
      <c r="K46" s="49" t="str">
        <f t="shared" si="0"/>
        <v>BLANK</v>
      </c>
      <c r="M46" s="229"/>
      <c r="N46" s="230"/>
      <c r="O46" s="230"/>
      <c r="P46" s="230"/>
      <c r="Q46" s="230"/>
      <c r="R46" s="230"/>
      <c r="S46" s="230"/>
      <c r="T46" s="230"/>
      <c r="U46" s="230"/>
      <c r="V46" s="198"/>
      <c r="W46" s="198"/>
      <c r="Y46" s="193"/>
      <c r="Z46" s="125"/>
      <c r="AA46" s="125"/>
      <c r="AB46" s="125"/>
      <c r="AC46" s="125"/>
      <c r="AD46" s="125"/>
      <c r="AE46" s="125"/>
      <c r="AF46" s="125"/>
      <c r="AG46" s="264"/>
      <c r="AH46" s="260"/>
      <c r="AI46" s="261"/>
      <c r="AK46" s="157" t="s">
        <v>354</v>
      </c>
      <c r="AL46" s="157"/>
      <c r="AM46" s="157"/>
      <c r="AN46" s="157"/>
      <c r="AO46" s="157"/>
      <c r="AP46" s="157"/>
      <c r="AQ46" s="157"/>
      <c r="AR46" s="157"/>
      <c r="AS46" s="158"/>
      <c r="AT46" s="5"/>
      <c r="AU46" s="49" t="str">
        <f>IF(ISBLANK(AT46),IncompleteText, IF(AT46, OKText, ErrorText))</f>
        <v>BLANK</v>
      </c>
      <c r="AW46" s="239"/>
      <c r="AX46" s="240"/>
      <c r="AY46" s="240"/>
      <c r="AZ46" s="240"/>
      <c r="BA46" s="240"/>
      <c r="BB46" s="240"/>
      <c r="BC46" s="240"/>
      <c r="BD46" s="240"/>
      <c r="BE46" s="240"/>
      <c r="BF46" s="240"/>
      <c r="BG46" s="241"/>
    </row>
    <row r="47" spans="1:59" x14ac:dyDescent="0.25">
      <c r="A47" s="121" t="s">
        <v>536</v>
      </c>
      <c r="B47" s="121"/>
      <c r="C47" s="150" t="s">
        <v>306</v>
      </c>
      <c r="D47" s="150"/>
      <c r="E47" s="150"/>
      <c r="F47" s="150"/>
      <c r="G47" s="150"/>
      <c r="H47" s="150"/>
      <c r="I47" s="151"/>
      <c r="J47" s="5"/>
      <c r="K47" s="49" t="str">
        <f t="shared" si="0"/>
        <v>BLANK</v>
      </c>
      <c r="Y47" s="46"/>
      <c r="Z47" s="46"/>
      <c r="AA47" s="46"/>
      <c r="AB47" s="46"/>
      <c r="AC47" s="46"/>
      <c r="AD47" s="46"/>
      <c r="AE47" s="46"/>
      <c r="AF47" s="46"/>
      <c r="AG47" s="46"/>
      <c r="AH47" s="46"/>
      <c r="AI47" s="46"/>
      <c r="AK47" s="150" t="s">
        <v>355</v>
      </c>
      <c r="AL47" s="150"/>
      <c r="AM47" s="150"/>
      <c r="AN47" s="150"/>
      <c r="AO47" s="150"/>
      <c r="AP47" s="150"/>
      <c r="AQ47" s="150"/>
      <c r="AR47" s="150"/>
      <c r="AS47" s="151"/>
      <c r="AT47" s="5"/>
      <c r="AU47" s="49" t="str">
        <f>IF(ISBLANK(AT47),IncompleteText, IF(AT47, OKText, ErrorText))</f>
        <v>BLANK</v>
      </c>
    </row>
    <row r="48" spans="1:59" ht="33" customHeight="1" x14ac:dyDescent="0.25">
      <c r="A48" s="121" t="s">
        <v>537</v>
      </c>
      <c r="B48" s="121"/>
      <c r="C48" s="155" t="s">
        <v>307</v>
      </c>
      <c r="D48" s="155"/>
      <c r="E48" s="155"/>
      <c r="F48" s="155"/>
      <c r="G48" s="155"/>
      <c r="H48" s="155"/>
      <c r="I48" s="190"/>
      <c r="J48" s="38"/>
      <c r="K48" s="52" t="str">
        <f t="shared" si="0"/>
        <v>BLANK</v>
      </c>
      <c r="AK48" s="150" t="s">
        <v>356</v>
      </c>
      <c r="AL48" s="150"/>
      <c r="AM48" s="150"/>
      <c r="AN48" s="150"/>
      <c r="AO48" s="150"/>
      <c r="AP48" s="150"/>
      <c r="AQ48" s="150"/>
      <c r="AR48" s="150"/>
      <c r="AS48" s="150"/>
      <c r="AT48" s="5"/>
      <c r="AU48" s="49" t="str">
        <f>IF(ISBLANK(AT48),IncompleteText, IF(AT48, OKText, ErrorText))</f>
        <v>BLANK</v>
      </c>
    </row>
    <row r="49" spans="1:59" x14ac:dyDescent="0.25">
      <c r="A49" s="121" t="s">
        <v>538</v>
      </c>
      <c r="B49" s="121"/>
      <c r="C49" s="150" t="s">
        <v>308</v>
      </c>
      <c r="D49" s="150"/>
      <c r="E49" s="150"/>
      <c r="F49" s="150"/>
      <c r="G49" s="150"/>
      <c r="H49" s="150"/>
      <c r="I49" s="151"/>
      <c r="J49" s="5"/>
      <c r="K49" s="49" t="str">
        <f t="shared" si="0"/>
        <v>BLANK</v>
      </c>
      <c r="Y49" s="105" t="s">
        <v>332</v>
      </c>
      <c r="Z49" s="105"/>
      <c r="AA49" s="105"/>
      <c r="AB49" s="105"/>
      <c r="AC49" s="105"/>
      <c r="AD49" s="105"/>
      <c r="AE49" s="105"/>
      <c r="AF49" s="105"/>
      <c r="AG49" s="105"/>
      <c r="AH49" s="105"/>
      <c r="AI49" s="255" t="str">
        <f>IF(COUNTIF(AI51:AI52, "="&amp;IncompleteText), IncompleteText, IF(COUNTIF(AI51:AI52, "="&amp;ErrorText), ErrorText, OKText))</f>
        <v>BLANK</v>
      </c>
    </row>
    <row r="50" spans="1:59" x14ac:dyDescent="0.25">
      <c r="A50" s="121" t="s">
        <v>539</v>
      </c>
      <c r="B50" s="121"/>
      <c r="C50" s="150" t="s">
        <v>309</v>
      </c>
      <c r="D50" s="150"/>
      <c r="E50" s="150"/>
      <c r="F50" s="150"/>
      <c r="G50" s="150"/>
      <c r="H50" s="150"/>
      <c r="I50" s="151"/>
      <c r="J50" s="5"/>
      <c r="K50" s="49" t="str">
        <f t="shared" si="0"/>
        <v>BLANK</v>
      </c>
      <c r="Y50" s="265" t="s">
        <v>333</v>
      </c>
      <c r="Z50" s="83"/>
      <c r="AA50" s="83"/>
      <c r="AB50" s="83"/>
      <c r="AC50" s="83"/>
      <c r="AD50" s="83"/>
      <c r="AE50" s="83"/>
      <c r="AF50" s="83"/>
      <c r="AG50" s="83"/>
      <c r="AH50" s="83"/>
      <c r="AI50" s="255"/>
      <c r="AK50" s="127" t="s">
        <v>548</v>
      </c>
      <c r="AL50" s="115"/>
      <c r="AM50" s="115"/>
      <c r="AN50" s="115"/>
      <c r="AO50" s="115"/>
      <c r="AP50" s="115"/>
      <c r="AQ50" s="115"/>
      <c r="AR50" s="115"/>
      <c r="AS50" s="115"/>
      <c r="AT50" s="115"/>
      <c r="AU50" s="115"/>
      <c r="AW50" s="127" t="s">
        <v>375</v>
      </c>
      <c r="AX50" s="115"/>
      <c r="AY50" s="115"/>
      <c r="AZ50" s="115"/>
      <c r="BA50" s="115"/>
      <c r="BB50" s="115"/>
      <c r="BC50" s="115"/>
      <c r="BD50" s="115"/>
      <c r="BE50" s="115"/>
      <c r="BF50" s="115"/>
      <c r="BG50" s="115"/>
    </row>
    <row r="51" spans="1:59" x14ac:dyDescent="0.25">
      <c r="A51" s="121"/>
      <c r="B51" s="121"/>
      <c r="C51" s="150" t="s">
        <v>310</v>
      </c>
      <c r="D51" s="150"/>
      <c r="E51" s="150"/>
      <c r="F51" s="150"/>
      <c r="G51" s="150"/>
      <c r="H51" s="150"/>
      <c r="I51" s="151"/>
      <c r="J51" s="5"/>
      <c r="K51" s="49" t="str">
        <f t="shared" si="0"/>
        <v>BLANK</v>
      </c>
      <c r="Y51" s="106" t="s">
        <v>334</v>
      </c>
      <c r="Z51" s="106"/>
      <c r="AA51" s="106"/>
      <c r="AB51" s="106"/>
      <c r="AC51" s="106"/>
      <c r="AD51" s="106"/>
      <c r="AE51" s="106"/>
      <c r="AF51" s="106"/>
      <c r="AG51" s="109"/>
      <c r="AH51" s="5"/>
      <c r="AI51" s="49" t="str">
        <f>IF(ISBLANK(AH51),IncompleteText, IF(AH51, OKText, ErrorText))</f>
        <v>BLANK</v>
      </c>
      <c r="AK51" s="115"/>
      <c r="AL51" s="115"/>
      <c r="AM51" s="115"/>
      <c r="AN51" s="115"/>
      <c r="AO51" s="115"/>
      <c r="AP51" s="115"/>
      <c r="AQ51" s="115"/>
      <c r="AR51" s="115"/>
      <c r="AS51" s="115"/>
      <c r="AT51" s="115"/>
      <c r="AU51" s="115"/>
      <c r="AW51" s="115"/>
      <c r="AX51" s="115"/>
      <c r="AY51" s="115"/>
      <c r="AZ51" s="115"/>
      <c r="BA51" s="115"/>
      <c r="BB51" s="115"/>
      <c r="BC51" s="115"/>
      <c r="BD51" s="115"/>
      <c r="BE51" s="115"/>
      <c r="BF51" s="115"/>
      <c r="BG51" s="115"/>
    </row>
    <row r="52" spans="1:59" x14ac:dyDescent="0.25">
      <c r="A52" s="121"/>
      <c r="B52" s="121"/>
      <c r="C52" s="150" t="s">
        <v>311</v>
      </c>
      <c r="D52" s="150"/>
      <c r="E52" s="150"/>
      <c r="F52" s="150"/>
      <c r="G52" s="150"/>
      <c r="H52" s="150"/>
      <c r="I52" s="151"/>
      <c r="J52" s="5"/>
      <c r="K52" s="49" t="str">
        <f t="shared" si="0"/>
        <v>BLANK</v>
      </c>
      <c r="Y52" s="106" t="s">
        <v>36</v>
      </c>
      <c r="Z52" s="106"/>
      <c r="AA52" s="106"/>
      <c r="AB52" s="106"/>
      <c r="AC52" s="106"/>
      <c r="AD52" s="106"/>
      <c r="AE52" s="106"/>
      <c r="AF52" s="106"/>
      <c r="AG52" s="109"/>
      <c r="AH52" s="5"/>
      <c r="AI52" s="49" t="str">
        <f>IF(ISBLANK(AH52),IncompleteText, IF(AH52, OKText, ErrorText))</f>
        <v>BLANK</v>
      </c>
      <c r="AK52" s="115"/>
      <c r="AL52" s="115"/>
      <c r="AM52" s="115"/>
      <c r="AN52" s="115"/>
      <c r="AO52" s="115"/>
      <c r="AP52" s="115"/>
      <c r="AQ52" s="115"/>
      <c r="AR52" s="115"/>
      <c r="AS52" s="115"/>
      <c r="AT52" s="115"/>
      <c r="AU52" s="115"/>
      <c r="AW52" s="115"/>
      <c r="AX52" s="115"/>
      <c r="AY52" s="115"/>
      <c r="AZ52" s="115"/>
      <c r="BA52" s="115"/>
      <c r="BB52" s="115"/>
      <c r="BC52" s="115"/>
      <c r="BD52" s="115"/>
      <c r="BE52" s="115"/>
      <c r="BF52" s="115"/>
      <c r="BG52" s="115"/>
    </row>
    <row r="53" spans="1:59" x14ac:dyDescent="0.25">
      <c r="A53" s="121" t="s">
        <v>502</v>
      </c>
      <c r="B53" s="121"/>
      <c r="C53" s="150" t="s">
        <v>312</v>
      </c>
      <c r="D53" s="150"/>
      <c r="E53" s="150"/>
      <c r="F53" s="150"/>
      <c r="G53" s="150"/>
      <c r="H53" s="150"/>
      <c r="I53" s="151"/>
      <c r="J53" s="5"/>
      <c r="K53" s="49" t="str">
        <f t="shared" si="0"/>
        <v>BLANK</v>
      </c>
      <c r="AK53" s="115"/>
      <c r="AL53" s="115"/>
      <c r="AM53" s="115"/>
      <c r="AN53" s="115"/>
      <c r="AO53" s="115"/>
      <c r="AP53" s="115"/>
      <c r="AQ53" s="115"/>
      <c r="AR53" s="115"/>
      <c r="AS53" s="115"/>
      <c r="AT53" s="115"/>
      <c r="AU53" s="115"/>
      <c r="AW53" s="115"/>
      <c r="AX53" s="115"/>
      <c r="AY53" s="115"/>
      <c r="AZ53" s="115"/>
      <c r="BA53" s="115"/>
      <c r="BB53" s="115"/>
      <c r="BC53" s="115"/>
      <c r="BD53" s="115"/>
      <c r="BE53" s="115"/>
      <c r="BF53" s="115"/>
      <c r="BG53" s="115"/>
    </row>
    <row r="54" spans="1:59" x14ac:dyDescent="0.25">
      <c r="A54" s="121" t="s">
        <v>540</v>
      </c>
      <c r="B54" s="121"/>
      <c r="C54" s="150" t="s">
        <v>313</v>
      </c>
      <c r="D54" s="150"/>
      <c r="E54" s="150"/>
      <c r="F54" s="150"/>
      <c r="G54" s="150"/>
      <c r="H54" s="150"/>
      <c r="I54" s="151"/>
      <c r="J54" s="5"/>
      <c r="K54" s="49" t="str">
        <f t="shared" si="0"/>
        <v>BLANK</v>
      </c>
      <c r="AK54" s="115"/>
      <c r="AL54" s="115"/>
      <c r="AM54" s="115"/>
      <c r="AN54" s="115"/>
      <c r="AO54" s="115"/>
      <c r="AP54" s="115"/>
      <c r="AQ54" s="115"/>
      <c r="AR54" s="115"/>
      <c r="AS54" s="115"/>
      <c r="AT54" s="115"/>
      <c r="AU54" s="115"/>
      <c r="AW54" s="115"/>
      <c r="AX54" s="115"/>
      <c r="AY54" s="115"/>
      <c r="AZ54" s="115"/>
      <c r="BA54" s="115"/>
      <c r="BB54" s="115"/>
      <c r="BC54" s="115"/>
      <c r="BD54" s="115"/>
      <c r="BE54" s="115"/>
      <c r="BF54" s="115"/>
      <c r="BG54" s="115"/>
    </row>
    <row r="55" spans="1:59" x14ac:dyDescent="0.25">
      <c r="A55" s="121"/>
      <c r="B55" s="121"/>
      <c r="C55" s="150" t="s">
        <v>314</v>
      </c>
      <c r="D55" s="150"/>
      <c r="E55" s="150"/>
      <c r="F55" s="150"/>
      <c r="G55" s="150"/>
      <c r="H55" s="150"/>
      <c r="I55" s="151"/>
      <c r="J55" s="5"/>
      <c r="K55" s="49" t="str">
        <f t="shared" si="0"/>
        <v>BLANK</v>
      </c>
      <c r="Y55" s="105" t="s">
        <v>335</v>
      </c>
      <c r="Z55" s="105"/>
      <c r="AA55" s="105"/>
      <c r="AB55" s="105"/>
      <c r="AC55" s="105"/>
      <c r="AD55" s="105"/>
      <c r="AE55" s="105"/>
      <c r="AF55" s="105"/>
      <c r="AG55" s="105"/>
      <c r="AH55" s="105"/>
      <c r="AI55" s="255" t="str">
        <f>IF(COUNTIF(AI58:AI63, "="&amp;IncompleteText), IncompleteText, IF(COUNTIF(AI58:AI63, "="&amp;ErrorText), ErrorText, OKText))</f>
        <v>BLANK</v>
      </c>
      <c r="AK55" s="115"/>
      <c r="AL55" s="115"/>
      <c r="AM55" s="115"/>
      <c r="AN55" s="115"/>
      <c r="AO55" s="115"/>
      <c r="AP55" s="115"/>
      <c r="AQ55" s="115"/>
      <c r="AR55" s="115"/>
      <c r="AS55" s="115"/>
      <c r="AT55" s="115"/>
      <c r="AU55" s="115"/>
      <c r="AW55" s="115"/>
      <c r="AX55" s="115"/>
      <c r="AY55" s="115"/>
      <c r="AZ55" s="115"/>
      <c r="BA55" s="115"/>
      <c r="BB55" s="115"/>
      <c r="BC55" s="115"/>
      <c r="BD55" s="115"/>
      <c r="BE55" s="115"/>
      <c r="BF55" s="115"/>
      <c r="BG55" s="115"/>
    </row>
    <row r="56" spans="1:59" x14ac:dyDescent="0.25">
      <c r="A56" s="121"/>
      <c r="B56" s="121"/>
      <c r="C56" s="150" t="s">
        <v>315</v>
      </c>
      <c r="D56" s="150"/>
      <c r="E56" s="150"/>
      <c r="F56" s="150"/>
      <c r="G56" s="150"/>
      <c r="H56" s="150"/>
      <c r="I56" s="151"/>
      <c r="J56" s="5"/>
      <c r="K56" s="49" t="str">
        <f t="shared" si="0"/>
        <v>BLANK</v>
      </c>
      <c r="Y56" s="265" t="s">
        <v>336</v>
      </c>
      <c r="Z56" s="83"/>
      <c r="AA56" s="83"/>
      <c r="AB56" s="83"/>
      <c r="AC56" s="83"/>
      <c r="AD56" s="83"/>
      <c r="AE56" s="83"/>
      <c r="AF56" s="83"/>
      <c r="AG56" s="83"/>
      <c r="AH56" s="83"/>
      <c r="AI56" s="255"/>
      <c r="AK56" s="115"/>
      <c r="AL56" s="115"/>
      <c r="AM56" s="115"/>
      <c r="AN56" s="115"/>
      <c r="AO56" s="115"/>
      <c r="AP56" s="115"/>
      <c r="AQ56" s="115"/>
      <c r="AR56" s="115"/>
      <c r="AS56" s="115"/>
      <c r="AT56" s="115"/>
      <c r="AU56" s="115"/>
      <c r="AW56" s="115"/>
      <c r="AX56" s="115"/>
      <c r="AY56" s="115"/>
      <c r="AZ56" s="115"/>
      <c r="BA56" s="115"/>
      <c r="BB56" s="115"/>
      <c r="BC56" s="115"/>
      <c r="BD56" s="115"/>
      <c r="BE56" s="115"/>
      <c r="BF56" s="115"/>
      <c r="BG56" s="115"/>
    </row>
    <row r="57" spans="1:59" x14ac:dyDescent="0.25">
      <c r="A57" s="121" t="s">
        <v>541</v>
      </c>
      <c r="B57" s="121"/>
      <c r="C57" s="150" t="s">
        <v>316</v>
      </c>
      <c r="D57" s="150"/>
      <c r="E57" s="150"/>
      <c r="F57" s="150"/>
      <c r="G57" s="150"/>
      <c r="H57" s="150"/>
      <c r="I57" s="151"/>
      <c r="J57" s="5"/>
      <c r="K57" s="49" t="str">
        <f t="shared" si="0"/>
        <v>BLANK</v>
      </c>
      <c r="Y57" s="266" t="s">
        <v>337</v>
      </c>
      <c r="Z57" s="266"/>
      <c r="AA57" s="266"/>
      <c r="AB57" s="266"/>
      <c r="AC57" s="266"/>
      <c r="AD57" s="266"/>
      <c r="AE57" s="266"/>
      <c r="AF57" s="266"/>
      <c r="AG57" s="26" t="s">
        <v>339</v>
      </c>
      <c r="AH57" s="26" t="s">
        <v>340</v>
      </c>
      <c r="AI57" s="255"/>
      <c r="AK57" s="115"/>
      <c r="AL57" s="115"/>
      <c r="AM57" s="115"/>
      <c r="AN57" s="115"/>
      <c r="AO57" s="115"/>
      <c r="AP57" s="115"/>
      <c r="AQ57" s="115"/>
      <c r="AR57" s="115"/>
      <c r="AS57" s="115"/>
      <c r="AT57" s="115"/>
      <c r="AU57" s="115"/>
      <c r="AW57" s="115"/>
      <c r="AX57" s="115"/>
      <c r="AY57" s="115"/>
      <c r="AZ57" s="115"/>
      <c r="BA57" s="115"/>
      <c r="BB57" s="115"/>
      <c r="BC57" s="115"/>
      <c r="BD57" s="115"/>
      <c r="BE57" s="115"/>
      <c r="BF57" s="115"/>
      <c r="BG57" s="115"/>
    </row>
    <row r="58" spans="1:59" x14ac:dyDescent="0.25">
      <c r="A58" s="121"/>
      <c r="B58" s="121"/>
      <c r="C58" s="150" t="s">
        <v>317</v>
      </c>
      <c r="D58" s="150"/>
      <c r="E58" s="150"/>
      <c r="F58" s="150"/>
      <c r="G58" s="150"/>
      <c r="H58" s="150"/>
      <c r="I58" s="151"/>
      <c r="J58" s="5"/>
      <c r="K58" s="49" t="str">
        <f t="shared" si="0"/>
        <v>BLANK</v>
      </c>
      <c r="Y58" s="106" t="s">
        <v>338</v>
      </c>
      <c r="Z58" s="106"/>
      <c r="AA58" s="106"/>
      <c r="AB58" s="106"/>
      <c r="AC58" s="106"/>
      <c r="AD58" s="106"/>
      <c r="AE58" s="106"/>
      <c r="AF58" s="109"/>
      <c r="AG58" s="5"/>
      <c r="AH58" s="5"/>
      <c r="AI58" s="49" t="str">
        <f>IF(OR(ISBLANK(AG58),ISBLANK(AH58)),IncompleteText,IF(AND(AH58="熄灭 OFF",AG58="熄灭 OFF"),OKText,ErrorText))</f>
        <v>BLANK</v>
      </c>
      <c r="AK58" s="115"/>
      <c r="AL58" s="115"/>
      <c r="AM58" s="115"/>
      <c r="AN58" s="115"/>
      <c r="AO58" s="115"/>
      <c r="AP58" s="115"/>
      <c r="AQ58" s="115"/>
      <c r="AR58" s="115"/>
      <c r="AS58" s="115"/>
      <c r="AT58" s="115"/>
      <c r="AU58" s="115"/>
      <c r="AW58" s="115"/>
      <c r="AX58" s="115"/>
      <c r="AY58" s="115"/>
      <c r="AZ58" s="115"/>
      <c r="BA58" s="115"/>
      <c r="BB58" s="115"/>
      <c r="BC58" s="115"/>
      <c r="BD58" s="115"/>
      <c r="BE58" s="115"/>
      <c r="BF58" s="115"/>
      <c r="BG58" s="115"/>
    </row>
    <row r="59" spans="1:59" x14ac:dyDescent="0.25">
      <c r="A59" s="121"/>
      <c r="B59" s="121"/>
      <c r="C59" s="150" t="s">
        <v>318</v>
      </c>
      <c r="D59" s="150"/>
      <c r="E59" s="150"/>
      <c r="F59" s="150"/>
      <c r="G59" s="150"/>
      <c r="H59" s="150"/>
      <c r="I59" s="151"/>
      <c r="J59" s="5"/>
      <c r="K59" s="49" t="str">
        <f t="shared" si="0"/>
        <v>BLANK</v>
      </c>
      <c r="Y59" s="106" t="s">
        <v>341</v>
      </c>
      <c r="Z59" s="106"/>
      <c r="AA59" s="106"/>
      <c r="AB59" s="106"/>
      <c r="AC59" s="106"/>
      <c r="AD59" s="106"/>
      <c r="AE59" s="106"/>
      <c r="AF59" s="109"/>
      <c r="AG59" s="5"/>
      <c r="AH59" s="5"/>
      <c r="AI59" s="49" t="str">
        <f>IF(OR(ISBLANK(AG59),ISBLANK(AH59)),IncompleteText,IF(AND(AG59="常亮 ON",AH59="熄灭 OFF"),OKText,ErrorText))</f>
        <v>BLANK</v>
      </c>
      <c r="AK59" s="115"/>
      <c r="AL59" s="115"/>
      <c r="AM59" s="115"/>
      <c r="AN59" s="115"/>
      <c r="AO59" s="115"/>
      <c r="AP59" s="115"/>
      <c r="AQ59" s="115"/>
      <c r="AR59" s="115"/>
      <c r="AS59" s="115"/>
      <c r="AT59" s="115"/>
      <c r="AU59" s="115"/>
      <c r="AW59" s="115"/>
      <c r="AX59" s="115"/>
      <c r="AY59" s="115"/>
      <c r="AZ59" s="115"/>
      <c r="BA59" s="115"/>
      <c r="BB59" s="115"/>
      <c r="BC59" s="115"/>
      <c r="BD59" s="115"/>
      <c r="BE59" s="115"/>
      <c r="BF59" s="115"/>
      <c r="BG59" s="115"/>
    </row>
    <row r="60" spans="1:59" s="33" customFormat="1" ht="42" customHeight="1" x14ac:dyDescent="0.25">
      <c r="A60" s="121"/>
      <c r="B60" s="121"/>
      <c r="C60" s="150" t="s">
        <v>319</v>
      </c>
      <c r="D60" s="150"/>
      <c r="E60" s="150"/>
      <c r="F60" s="150"/>
      <c r="G60" s="150"/>
      <c r="H60" s="150"/>
      <c r="I60" s="151"/>
      <c r="J60" s="38"/>
      <c r="K60" s="52" t="str">
        <f t="shared" si="0"/>
        <v>BLANK</v>
      </c>
      <c r="Y60" s="155" t="s">
        <v>342</v>
      </c>
      <c r="Z60" s="155"/>
      <c r="AA60" s="155"/>
      <c r="AB60" s="155"/>
      <c r="AC60" s="155"/>
      <c r="AD60" s="155"/>
      <c r="AE60" s="155"/>
      <c r="AF60" s="190"/>
      <c r="AG60" s="38"/>
      <c r="AH60" s="38"/>
      <c r="AI60" s="52" t="str">
        <f>IF(OR(ISBLANK(AG60),ISBLANK(AH60)),IncompleteText,IF(AND(AG60="常亮 ON",AH60="熄灭 OFF"),OKText,ErrorText))</f>
        <v>BLANK</v>
      </c>
      <c r="AK60" s="115"/>
      <c r="AL60" s="115"/>
      <c r="AM60" s="115"/>
      <c r="AN60" s="115"/>
      <c r="AO60" s="115"/>
      <c r="AP60" s="115"/>
      <c r="AQ60" s="115"/>
      <c r="AR60" s="115"/>
      <c r="AS60" s="115"/>
      <c r="AT60" s="115"/>
      <c r="AU60" s="115"/>
      <c r="AW60" s="115"/>
      <c r="AX60" s="115"/>
      <c r="AY60" s="115"/>
      <c r="AZ60" s="115"/>
      <c r="BA60" s="115"/>
      <c r="BB60" s="115"/>
      <c r="BC60" s="115"/>
      <c r="BD60" s="115"/>
      <c r="BE60" s="115"/>
      <c r="BF60" s="115"/>
      <c r="BG60" s="115"/>
    </row>
    <row r="61" spans="1:59" s="33" customFormat="1" ht="33" customHeight="1" x14ac:dyDescent="0.25">
      <c r="A61" s="121" t="s">
        <v>542</v>
      </c>
      <c r="B61" s="121"/>
      <c r="C61" s="150" t="s">
        <v>320</v>
      </c>
      <c r="D61" s="150"/>
      <c r="E61" s="150"/>
      <c r="F61" s="150"/>
      <c r="G61" s="150"/>
      <c r="H61" s="150"/>
      <c r="I61" s="151"/>
      <c r="J61" s="38"/>
      <c r="K61" s="52" t="str">
        <f t="shared" si="0"/>
        <v>BLANK</v>
      </c>
      <c r="Y61" s="155" t="s">
        <v>343</v>
      </c>
      <c r="Z61" s="155"/>
      <c r="AA61" s="155"/>
      <c r="AB61" s="155"/>
      <c r="AC61" s="155"/>
      <c r="AD61" s="155"/>
      <c r="AE61" s="155"/>
      <c r="AF61" s="190"/>
      <c r="AG61" s="38"/>
      <c r="AH61" s="38"/>
      <c r="AI61" s="52" t="str">
        <f>IF(OR(ISBLANK(AG61),ISBLANK(AH61)),IncompleteText,IF(AND(AG61="常亮 ON",AH61="闪烁 Flashing"),OKText,ErrorText))</f>
        <v>BLANK</v>
      </c>
      <c r="AK61" s="115"/>
      <c r="AL61" s="115"/>
      <c r="AM61" s="115"/>
      <c r="AN61" s="115"/>
      <c r="AO61" s="115"/>
      <c r="AP61" s="115"/>
      <c r="AQ61" s="115"/>
      <c r="AR61" s="115"/>
      <c r="AS61" s="115"/>
      <c r="AT61" s="115"/>
      <c r="AU61" s="115"/>
      <c r="AW61" s="115"/>
      <c r="AX61" s="115"/>
      <c r="AY61" s="115"/>
      <c r="AZ61" s="115"/>
      <c r="BA61" s="115"/>
      <c r="BB61" s="115"/>
      <c r="BC61" s="115"/>
      <c r="BD61" s="115"/>
      <c r="BE61" s="115"/>
      <c r="BF61" s="115"/>
      <c r="BG61" s="115"/>
    </row>
    <row r="62" spans="1:59" ht="21" customHeight="1" x14ac:dyDescent="0.25">
      <c r="A62" s="121" t="s">
        <v>536</v>
      </c>
      <c r="B62" s="121"/>
      <c r="C62" s="150" t="s">
        <v>321</v>
      </c>
      <c r="D62" s="150"/>
      <c r="E62" s="150"/>
      <c r="F62" s="150"/>
      <c r="G62" s="150"/>
      <c r="H62" s="150"/>
      <c r="I62" s="151"/>
      <c r="J62" s="5"/>
      <c r="K62" s="49" t="str">
        <f t="shared" si="0"/>
        <v>BLANK</v>
      </c>
      <c r="Y62" s="106" t="s">
        <v>344</v>
      </c>
      <c r="Z62" s="106"/>
      <c r="AA62" s="106"/>
      <c r="AB62" s="106"/>
      <c r="AC62" s="106"/>
      <c r="AD62" s="106"/>
      <c r="AE62" s="106"/>
      <c r="AF62" s="109"/>
      <c r="AG62" s="5"/>
      <c r="AH62" s="5"/>
      <c r="AI62" s="49" t="str">
        <f>IF(OR(ISBLANK(AG62),ISBLANK(AH62)),IncompleteText,IF(AND(AH62="熄灭 OFF",AG62="熄灭 OFF"),OKText,ErrorText))</f>
        <v>BLANK</v>
      </c>
      <c r="AK62" s="115"/>
      <c r="AL62" s="115"/>
      <c r="AM62" s="115"/>
      <c r="AN62" s="115"/>
      <c r="AO62" s="115"/>
      <c r="AP62" s="115"/>
      <c r="AQ62" s="115"/>
      <c r="AR62" s="115"/>
      <c r="AS62" s="115"/>
      <c r="AT62" s="115"/>
      <c r="AU62" s="115"/>
      <c r="AW62" s="115"/>
      <c r="AX62" s="115"/>
      <c r="AY62" s="115"/>
      <c r="AZ62" s="115"/>
      <c r="BA62" s="115"/>
      <c r="BB62" s="115"/>
      <c r="BC62" s="115"/>
      <c r="BD62" s="115"/>
      <c r="BE62" s="115"/>
      <c r="BF62" s="115"/>
      <c r="BG62" s="115"/>
    </row>
    <row r="63" spans="1:59" ht="27" customHeight="1" x14ac:dyDescent="0.25">
      <c r="A63" s="78" t="s">
        <v>210</v>
      </c>
      <c r="B63" s="78"/>
      <c r="C63" s="78"/>
      <c r="D63" s="78"/>
      <c r="E63" s="78"/>
      <c r="F63" s="78"/>
      <c r="G63" s="78"/>
      <c r="H63" s="78"/>
      <c r="I63" s="78"/>
      <c r="J63" s="253" t="s">
        <v>232</v>
      </c>
      <c r="K63" s="254"/>
      <c r="Y63" s="186" t="s">
        <v>345</v>
      </c>
      <c r="Z63" s="186"/>
      <c r="AA63" s="186"/>
      <c r="AB63" s="186"/>
      <c r="AC63" s="186"/>
      <c r="AD63" s="186"/>
      <c r="AE63" s="186"/>
      <c r="AF63" s="187"/>
      <c r="AG63" s="5"/>
      <c r="AH63" s="5"/>
      <c r="AI63" s="49" t="str">
        <f>IF(OR(ISBLANK(AG63),ISBLANK(AH63)),IncompleteText,IF(AND(AH63="熄灭 OFF",AG63="熄灭 OFF"),OKText,ErrorText))</f>
        <v>BLANK</v>
      </c>
      <c r="AK63" s="115"/>
      <c r="AL63" s="115"/>
      <c r="AM63" s="115"/>
      <c r="AN63" s="115"/>
      <c r="AO63" s="115"/>
      <c r="AP63" s="115"/>
      <c r="AQ63" s="115"/>
      <c r="AR63" s="115"/>
      <c r="AS63" s="115"/>
      <c r="AT63" s="115"/>
      <c r="AU63" s="115"/>
      <c r="AW63" s="115"/>
      <c r="AX63" s="115"/>
      <c r="AY63" s="115"/>
      <c r="AZ63" s="115"/>
      <c r="BA63" s="115"/>
      <c r="BB63" s="115"/>
      <c r="BC63" s="115"/>
      <c r="BD63" s="115"/>
      <c r="BE63" s="115"/>
      <c r="BF63" s="115"/>
      <c r="BG63" s="115"/>
    </row>
    <row r="64" spans="1:59" x14ac:dyDescent="0.25">
      <c r="A64" s="193"/>
      <c r="B64" s="125"/>
      <c r="C64" s="125"/>
      <c r="D64" s="125"/>
      <c r="E64" s="125"/>
      <c r="F64" s="125"/>
      <c r="G64" s="125"/>
      <c r="H64" s="125"/>
      <c r="I64" s="125"/>
      <c r="J64" s="200" t="s">
        <v>543</v>
      </c>
      <c r="K64" s="198"/>
      <c r="AK64" s="115"/>
      <c r="AL64" s="115"/>
      <c r="AM64" s="115"/>
      <c r="AN64" s="115"/>
      <c r="AO64" s="115"/>
      <c r="AP64" s="115"/>
      <c r="AQ64" s="115"/>
      <c r="AR64" s="115"/>
      <c r="AS64" s="115"/>
      <c r="AT64" s="115"/>
      <c r="AU64" s="115"/>
      <c r="AW64" s="115"/>
      <c r="AX64" s="115"/>
      <c r="AY64" s="115"/>
      <c r="AZ64" s="115"/>
      <c r="BA64" s="115"/>
      <c r="BB64" s="115"/>
      <c r="BC64" s="115"/>
      <c r="BD64" s="115"/>
      <c r="BE64" s="115"/>
      <c r="BF64" s="115"/>
      <c r="BG64" s="115"/>
    </row>
    <row r="65" spans="1:59" x14ac:dyDescent="0.25">
      <c r="A65" s="193"/>
      <c r="B65" s="125"/>
      <c r="C65" s="125"/>
      <c r="D65" s="125"/>
      <c r="E65" s="125"/>
      <c r="F65" s="125"/>
      <c r="G65" s="125"/>
      <c r="H65" s="125"/>
      <c r="I65" s="125"/>
      <c r="J65" s="198"/>
      <c r="K65" s="198"/>
      <c r="AK65" s="115"/>
      <c r="AL65" s="115"/>
      <c r="AM65" s="115"/>
      <c r="AN65" s="115"/>
      <c r="AO65" s="115"/>
      <c r="AP65" s="115"/>
      <c r="AQ65" s="115"/>
      <c r="AR65" s="115"/>
      <c r="AS65" s="115"/>
      <c r="AT65" s="115"/>
      <c r="AU65" s="115"/>
      <c r="AW65" s="115"/>
      <c r="AX65" s="115"/>
      <c r="AY65" s="115"/>
      <c r="AZ65" s="115"/>
      <c r="BA65" s="115"/>
      <c r="BB65" s="115"/>
      <c r="BC65" s="115"/>
      <c r="BD65" s="115"/>
      <c r="BE65" s="115"/>
      <c r="BF65" s="115"/>
      <c r="BG65" s="115"/>
    </row>
    <row r="66" spans="1:59" x14ac:dyDescent="0.25">
      <c r="A66" s="193"/>
      <c r="B66" s="125"/>
      <c r="C66" s="125"/>
      <c r="D66" s="125"/>
      <c r="E66" s="125"/>
      <c r="F66" s="125"/>
      <c r="G66" s="125"/>
      <c r="H66" s="125"/>
      <c r="I66" s="125"/>
      <c r="J66" s="198"/>
      <c r="K66" s="198"/>
      <c r="AK66" s="115"/>
      <c r="AL66" s="115"/>
      <c r="AM66" s="115"/>
      <c r="AN66" s="115"/>
      <c r="AO66" s="115"/>
      <c r="AP66" s="115"/>
      <c r="AQ66" s="115"/>
      <c r="AR66" s="115"/>
      <c r="AS66" s="115"/>
      <c r="AT66" s="115"/>
      <c r="AU66" s="115"/>
      <c r="AW66" s="115"/>
      <c r="AX66" s="115"/>
      <c r="AY66" s="115"/>
      <c r="AZ66" s="115"/>
      <c r="BA66" s="115"/>
      <c r="BB66" s="115"/>
      <c r="BC66" s="115"/>
      <c r="BD66" s="115"/>
      <c r="BE66" s="115"/>
      <c r="BF66" s="115"/>
      <c r="BG66" s="115"/>
    </row>
    <row r="67" spans="1:59" x14ac:dyDescent="0.25">
      <c r="A67" s="193"/>
      <c r="B67" s="125"/>
      <c r="C67" s="125"/>
      <c r="D67" s="125"/>
      <c r="E67" s="125"/>
      <c r="F67" s="125"/>
      <c r="G67" s="125"/>
      <c r="H67" s="125"/>
      <c r="I67" s="125"/>
      <c r="J67" s="198"/>
      <c r="K67" s="198"/>
      <c r="AK67" s="115"/>
      <c r="AL67" s="115"/>
      <c r="AM67" s="115"/>
      <c r="AN67" s="115"/>
      <c r="AO67" s="115"/>
      <c r="AP67" s="115"/>
      <c r="AQ67" s="115"/>
      <c r="AR67" s="115"/>
      <c r="AS67" s="115"/>
      <c r="AT67" s="115"/>
      <c r="AU67" s="115"/>
      <c r="AW67" s="115"/>
      <c r="AX67" s="115"/>
      <c r="AY67" s="115"/>
      <c r="AZ67" s="115"/>
      <c r="BA67" s="115"/>
      <c r="BB67" s="115"/>
      <c r="BC67" s="115"/>
      <c r="BD67" s="115"/>
      <c r="BE67" s="115"/>
      <c r="BF67" s="115"/>
      <c r="BG67" s="115"/>
    </row>
    <row r="68" spans="1:59" x14ac:dyDescent="0.25">
      <c r="AK68" s="115"/>
      <c r="AL68" s="115"/>
      <c r="AM68" s="115"/>
      <c r="AN68" s="115"/>
      <c r="AO68" s="115"/>
      <c r="AP68" s="115"/>
      <c r="AQ68" s="115"/>
      <c r="AR68" s="115"/>
      <c r="AS68" s="115"/>
      <c r="AT68" s="115"/>
      <c r="AU68" s="115"/>
      <c r="AW68" s="115"/>
      <c r="AX68" s="115"/>
      <c r="AY68" s="115"/>
      <c r="AZ68" s="115"/>
      <c r="BA68" s="115"/>
      <c r="BB68" s="115"/>
      <c r="BC68" s="115"/>
      <c r="BD68" s="115"/>
      <c r="BE68" s="115"/>
      <c r="BF68" s="115"/>
      <c r="BG68" s="115"/>
    </row>
    <row r="69" spans="1:59" x14ac:dyDescent="0.25">
      <c r="A69" s="115" t="s">
        <v>453</v>
      </c>
      <c r="B69" s="115"/>
      <c r="C69" s="115"/>
      <c r="D69" s="115"/>
      <c r="E69" s="115"/>
      <c r="F69" s="115"/>
      <c r="G69" s="115"/>
      <c r="H69" s="115"/>
      <c r="I69" s="115"/>
      <c r="J69" s="115"/>
      <c r="K69" s="115"/>
      <c r="M69" s="115" t="s">
        <v>457</v>
      </c>
      <c r="N69" s="115"/>
      <c r="O69" s="115"/>
      <c r="P69" s="115"/>
      <c r="Q69" s="115"/>
      <c r="R69" s="115"/>
      <c r="S69" s="115"/>
      <c r="T69" s="115"/>
      <c r="U69" s="115"/>
      <c r="V69" s="115"/>
      <c r="W69" s="115"/>
      <c r="AK69" s="115"/>
      <c r="AL69" s="115"/>
      <c r="AM69" s="115"/>
      <c r="AN69" s="115"/>
      <c r="AO69" s="115"/>
      <c r="AP69" s="115"/>
      <c r="AQ69" s="115"/>
      <c r="AR69" s="115"/>
      <c r="AS69" s="115"/>
      <c r="AT69" s="115"/>
      <c r="AU69" s="115"/>
      <c r="AW69" s="115"/>
      <c r="AX69" s="115"/>
      <c r="AY69" s="115"/>
      <c r="AZ69" s="115"/>
      <c r="BA69" s="115"/>
      <c r="BB69" s="115"/>
      <c r="BC69" s="115"/>
      <c r="BD69" s="115"/>
      <c r="BE69" s="115"/>
      <c r="BF69" s="115"/>
      <c r="BG69" s="115"/>
    </row>
    <row r="70" spans="1:59" x14ac:dyDescent="0.25">
      <c r="A70" s="115"/>
      <c r="B70" s="115"/>
      <c r="C70" s="115"/>
      <c r="D70" s="115"/>
      <c r="E70" s="115"/>
      <c r="F70" s="115"/>
      <c r="G70" s="115"/>
      <c r="H70" s="115"/>
      <c r="I70" s="115"/>
      <c r="J70" s="115"/>
      <c r="K70" s="115"/>
      <c r="M70" s="115"/>
      <c r="N70" s="115"/>
      <c r="O70" s="115"/>
      <c r="P70" s="115"/>
      <c r="Q70" s="115"/>
      <c r="R70" s="115"/>
      <c r="S70" s="115"/>
      <c r="T70" s="115"/>
      <c r="U70" s="115"/>
      <c r="V70" s="115"/>
      <c r="W70" s="115"/>
      <c r="AK70" s="115"/>
      <c r="AL70" s="115"/>
      <c r="AM70" s="115"/>
      <c r="AN70" s="115"/>
      <c r="AO70" s="115"/>
      <c r="AP70" s="115"/>
      <c r="AQ70" s="115"/>
      <c r="AR70" s="115"/>
      <c r="AS70" s="115"/>
      <c r="AT70" s="115"/>
      <c r="AU70" s="115"/>
      <c r="AW70" s="115"/>
      <c r="AX70" s="115"/>
      <c r="AY70" s="115"/>
      <c r="AZ70" s="115"/>
      <c r="BA70" s="115"/>
      <c r="BB70" s="115"/>
      <c r="BC70" s="115"/>
      <c r="BD70" s="115"/>
      <c r="BE70" s="115"/>
      <c r="BF70" s="115"/>
      <c r="BG70" s="115"/>
    </row>
    <row r="71" spans="1:59" x14ac:dyDescent="0.25">
      <c r="A71" s="115"/>
      <c r="B71" s="115"/>
      <c r="C71" s="115"/>
      <c r="D71" s="115"/>
      <c r="E71" s="115"/>
      <c r="F71" s="115"/>
      <c r="G71" s="115"/>
      <c r="H71" s="115"/>
      <c r="I71" s="115"/>
      <c r="J71" s="115"/>
      <c r="K71" s="115"/>
      <c r="M71" s="115"/>
      <c r="N71" s="115"/>
      <c r="O71" s="115"/>
      <c r="P71" s="115"/>
      <c r="Q71" s="115"/>
      <c r="R71" s="115"/>
      <c r="S71" s="115"/>
      <c r="T71" s="115"/>
      <c r="U71" s="115"/>
      <c r="V71" s="115"/>
      <c r="W71" s="115"/>
      <c r="AK71" s="115"/>
      <c r="AL71" s="115"/>
      <c r="AM71" s="115"/>
      <c r="AN71" s="115"/>
      <c r="AO71" s="115"/>
      <c r="AP71" s="115"/>
      <c r="AQ71" s="115"/>
      <c r="AR71" s="115"/>
      <c r="AS71" s="115"/>
      <c r="AT71" s="115"/>
      <c r="AU71" s="115"/>
      <c r="AW71" s="115"/>
      <c r="AX71" s="115"/>
      <c r="AY71" s="115"/>
      <c r="AZ71" s="115"/>
      <c r="BA71" s="115"/>
      <c r="BB71" s="115"/>
      <c r="BC71" s="115"/>
      <c r="BD71" s="115"/>
      <c r="BE71" s="115"/>
      <c r="BF71" s="115"/>
      <c r="BG71" s="115"/>
    </row>
    <row r="72" spans="1:59" x14ac:dyDescent="0.25">
      <c r="A72" s="115"/>
      <c r="B72" s="115"/>
      <c r="C72" s="115"/>
      <c r="D72" s="115"/>
      <c r="E72" s="115"/>
      <c r="F72" s="115"/>
      <c r="G72" s="115"/>
      <c r="H72" s="115"/>
      <c r="I72" s="115"/>
      <c r="J72" s="115"/>
      <c r="K72" s="115"/>
      <c r="M72" s="115"/>
      <c r="N72" s="115"/>
      <c r="O72" s="115"/>
      <c r="P72" s="115"/>
      <c r="Q72" s="115"/>
      <c r="R72" s="115"/>
      <c r="S72" s="115"/>
      <c r="T72" s="115"/>
      <c r="U72" s="115"/>
      <c r="V72" s="115"/>
      <c r="W72" s="115"/>
      <c r="AK72" s="115"/>
      <c r="AL72" s="115"/>
      <c r="AM72" s="115"/>
      <c r="AN72" s="115"/>
      <c r="AO72" s="115"/>
      <c r="AP72" s="115"/>
      <c r="AQ72" s="115"/>
      <c r="AR72" s="115"/>
      <c r="AS72" s="115"/>
      <c r="AT72" s="115"/>
      <c r="AU72" s="115"/>
      <c r="AW72" s="115"/>
      <c r="AX72" s="115"/>
      <c r="AY72" s="115"/>
      <c r="AZ72" s="115"/>
      <c r="BA72" s="115"/>
      <c r="BB72" s="115"/>
      <c r="BC72" s="115"/>
      <c r="BD72" s="115"/>
      <c r="BE72" s="115"/>
      <c r="BF72" s="115"/>
      <c r="BG72" s="115"/>
    </row>
    <row r="73" spans="1:59" x14ac:dyDescent="0.25">
      <c r="A73" s="115"/>
      <c r="B73" s="115"/>
      <c r="C73" s="115"/>
      <c r="D73" s="115"/>
      <c r="E73" s="115"/>
      <c r="F73" s="115"/>
      <c r="G73" s="115"/>
      <c r="H73" s="115"/>
      <c r="I73" s="115"/>
      <c r="J73" s="115"/>
      <c r="K73" s="115"/>
      <c r="M73" s="115"/>
      <c r="N73" s="115"/>
      <c r="O73" s="115"/>
      <c r="P73" s="115"/>
      <c r="Q73" s="115"/>
      <c r="R73" s="115"/>
      <c r="S73" s="115"/>
      <c r="T73" s="115"/>
      <c r="U73" s="115"/>
      <c r="V73" s="115"/>
      <c r="W73" s="115"/>
      <c r="AK73" s="115"/>
      <c r="AL73" s="115"/>
      <c r="AM73" s="115"/>
      <c r="AN73" s="115"/>
      <c r="AO73" s="115"/>
      <c r="AP73" s="115"/>
      <c r="AQ73" s="115"/>
      <c r="AR73" s="115"/>
      <c r="AS73" s="115"/>
      <c r="AT73" s="115"/>
      <c r="AU73" s="115"/>
      <c r="AW73" s="115"/>
      <c r="AX73" s="115"/>
      <c r="AY73" s="115"/>
      <c r="AZ73" s="115"/>
      <c r="BA73" s="115"/>
      <c r="BB73" s="115"/>
      <c r="BC73" s="115"/>
      <c r="BD73" s="115"/>
      <c r="BE73" s="115"/>
      <c r="BF73" s="115"/>
      <c r="BG73" s="115"/>
    </row>
    <row r="74" spans="1:59" x14ac:dyDescent="0.25">
      <c r="A74" s="115"/>
      <c r="B74" s="115"/>
      <c r="C74" s="115"/>
      <c r="D74" s="115"/>
      <c r="E74" s="115"/>
      <c r="F74" s="115"/>
      <c r="G74" s="115"/>
      <c r="H74" s="115"/>
      <c r="I74" s="115"/>
      <c r="J74" s="115"/>
      <c r="K74" s="115"/>
      <c r="M74" s="115"/>
      <c r="N74" s="115"/>
      <c r="O74" s="115"/>
      <c r="P74" s="115"/>
      <c r="Q74" s="115"/>
      <c r="R74" s="115"/>
      <c r="S74" s="115"/>
      <c r="T74" s="115"/>
      <c r="U74" s="115"/>
      <c r="V74" s="115"/>
      <c r="W74" s="115"/>
      <c r="AK74" s="115"/>
      <c r="AL74" s="115"/>
      <c r="AM74" s="115"/>
      <c r="AN74" s="115"/>
      <c r="AO74" s="115"/>
      <c r="AP74" s="115"/>
      <c r="AQ74" s="115"/>
      <c r="AR74" s="115"/>
      <c r="AS74" s="115"/>
      <c r="AT74" s="115"/>
      <c r="AU74" s="115"/>
      <c r="AW74" s="115"/>
      <c r="AX74" s="115"/>
      <c r="AY74" s="115"/>
      <c r="AZ74" s="115"/>
      <c r="BA74" s="115"/>
      <c r="BB74" s="115"/>
      <c r="BC74" s="115"/>
      <c r="BD74" s="115"/>
      <c r="BE74" s="115"/>
      <c r="BF74" s="115"/>
      <c r="BG74" s="115"/>
    </row>
    <row r="75" spans="1:59" x14ac:dyDescent="0.25">
      <c r="A75" s="115"/>
      <c r="B75" s="115"/>
      <c r="C75" s="115"/>
      <c r="D75" s="115"/>
      <c r="E75" s="115"/>
      <c r="F75" s="115"/>
      <c r="G75" s="115"/>
      <c r="H75" s="115"/>
      <c r="I75" s="115"/>
      <c r="J75" s="115"/>
      <c r="K75" s="115"/>
      <c r="M75" s="115"/>
      <c r="N75" s="115"/>
      <c r="O75" s="115"/>
      <c r="P75" s="115"/>
      <c r="Q75" s="115"/>
      <c r="R75" s="115"/>
      <c r="S75" s="115"/>
      <c r="T75" s="115"/>
      <c r="U75" s="115"/>
      <c r="V75" s="115"/>
      <c r="W75" s="115"/>
      <c r="AK75" s="115"/>
      <c r="AL75" s="115"/>
      <c r="AM75" s="115"/>
      <c r="AN75" s="115"/>
      <c r="AO75" s="115"/>
      <c r="AP75" s="115"/>
      <c r="AQ75" s="115"/>
      <c r="AR75" s="115"/>
      <c r="AS75" s="115"/>
      <c r="AT75" s="115"/>
      <c r="AU75" s="115"/>
      <c r="AW75" s="115"/>
      <c r="AX75" s="115"/>
      <c r="AY75" s="115"/>
      <c r="AZ75" s="115"/>
      <c r="BA75" s="115"/>
      <c r="BB75" s="115"/>
      <c r="BC75" s="115"/>
      <c r="BD75" s="115"/>
      <c r="BE75" s="115"/>
      <c r="BF75" s="115"/>
      <c r="BG75" s="115"/>
    </row>
    <row r="76" spans="1:59" x14ac:dyDescent="0.25">
      <c r="A76" s="115"/>
      <c r="B76" s="115"/>
      <c r="C76" s="115"/>
      <c r="D76" s="115"/>
      <c r="E76" s="115"/>
      <c r="F76" s="115"/>
      <c r="G76" s="115"/>
      <c r="H76" s="115"/>
      <c r="I76" s="115"/>
      <c r="J76" s="115"/>
      <c r="K76" s="115"/>
      <c r="M76" s="115"/>
      <c r="N76" s="115"/>
      <c r="O76" s="115"/>
      <c r="P76" s="115"/>
      <c r="Q76" s="115"/>
      <c r="R76" s="115"/>
      <c r="S76" s="115"/>
      <c r="T76" s="115"/>
      <c r="U76" s="115"/>
      <c r="V76" s="115"/>
      <c r="W76" s="115"/>
      <c r="AK76" s="218" t="s">
        <v>357</v>
      </c>
      <c r="AL76" s="218"/>
      <c r="AM76" s="218"/>
      <c r="AN76" s="218"/>
      <c r="AO76" s="218"/>
      <c r="AP76" s="218"/>
      <c r="AQ76" s="218"/>
      <c r="AR76" s="218"/>
      <c r="AS76" s="218"/>
      <c r="AT76" s="218"/>
      <c r="AU76" s="117" t="str">
        <f>IF(COUNTIF(AU78:AU100, "="&amp;IncompleteText), IncompleteText, IF(COUNTIF(AU78:AU100, "="&amp;ErrorText), ErrorText, OKText))</f>
        <v>BLANK</v>
      </c>
      <c r="AW76" s="218" t="s">
        <v>376</v>
      </c>
      <c r="AX76" s="218"/>
      <c r="AY76" s="218"/>
      <c r="AZ76" s="218"/>
      <c r="BA76" s="218"/>
      <c r="BB76" s="218"/>
      <c r="BC76" s="218"/>
      <c r="BD76" s="218"/>
      <c r="BE76" s="218"/>
      <c r="BF76" s="218"/>
      <c r="BG76" s="117" t="str">
        <f>IF(COUNTIF(BG78:BG80, "="&amp;IncompleteText), IncompleteText, IF(COUNTIF(BG78:BG80, "="&amp;ErrorText), ErrorText, OKText))</f>
        <v>BLANK</v>
      </c>
    </row>
    <row r="77" spans="1:59" x14ac:dyDescent="0.25">
      <c r="A77" s="115"/>
      <c r="B77" s="115"/>
      <c r="C77" s="115"/>
      <c r="D77" s="115"/>
      <c r="E77" s="115"/>
      <c r="F77" s="115"/>
      <c r="G77" s="115"/>
      <c r="H77" s="115"/>
      <c r="I77" s="115"/>
      <c r="J77" s="115"/>
      <c r="K77" s="115"/>
      <c r="M77" s="115"/>
      <c r="N77" s="115"/>
      <c r="O77" s="115"/>
      <c r="P77" s="115"/>
      <c r="Q77" s="115"/>
      <c r="R77" s="115"/>
      <c r="S77" s="115"/>
      <c r="T77" s="115"/>
      <c r="U77" s="115"/>
      <c r="V77" s="115"/>
      <c r="W77" s="115"/>
      <c r="AK77" s="78"/>
      <c r="AL77" s="78"/>
      <c r="AM77" s="78"/>
      <c r="AN77" s="78"/>
      <c r="AO77" s="78"/>
      <c r="AP77" s="78"/>
      <c r="AQ77" s="78"/>
      <c r="AR77" s="78"/>
      <c r="AS77" s="78"/>
      <c r="AT77" s="78"/>
      <c r="AU77" s="96"/>
      <c r="AW77" s="78"/>
      <c r="AX77" s="78"/>
      <c r="AY77" s="78"/>
      <c r="AZ77" s="78"/>
      <c r="BA77" s="78"/>
      <c r="BB77" s="78"/>
      <c r="BC77" s="78"/>
      <c r="BD77" s="78"/>
      <c r="BE77" s="78"/>
      <c r="BF77" s="78"/>
      <c r="BG77" s="96"/>
    </row>
    <row r="78" spans="1:59" x14ac:dyDescent="0.25">
      <c r="A78" s="115"/>
      <c r="B78" s="115"/>
      <c r="C78" s="115"/>
      <c r="D78" s="115"/>
      <c r="E78" s="115"/>
      <c r="F78" s="115"/>
      <c r="G78" s="115"/>
      <c r="H78" s="115"/>
      <c r="I78" s="115"/>
      <c r="J78" s="115"/>
      <c r="K78" s="115"/>
      <c r="M78" s="115"/>
      <c r="N78" s="115"/>
      <c r="O78" s="115"/>
      <c r="P78" s="115"/>
      <c r="Q78" s="115"/>
      <c r="R78" s="115"/>
      <c r="S78" s="115"/>
      <c r="T78" s="115"/>
      <c r="U78" s="115"/>
      <c r="V78" s="115"/>
      <c r="W78" s="115"/>
      <c r="AK78" s="225" t="s">
        <v>358</v>
      </c>
      <c r="AL78" s="225"/>
      <c r="AM78" s="225"/>
      <c r="AN78" s="225"/>
      <c r="AO78" s="225"/>
      <c r="AP78" s="225"/>
      <c r="AQ78" s="225"/>
      <c r="AR78" s="225"/>
      <c r="AS78" s="226"/>
      <c r="AT78" s="5"/>
      <c r="AU78" s="49" t="str">
        <f>IF(ISBLANK(AT78),IncompleteText,OKText)</f>
        <v>BLANK</v>
      </c>
      <c r="AW78" s="106" t="s">
        <v>377</v>
      </c>
      <c r="AX78" s="106"/>
      <c r="AY78" s="106"/>
      <c r="AZ78" s="106"/>
      <c r="BA78" s="106"/>
      <c r="BB78" s="106"/>
      <c r="BC78" s="106"/>
      <c r="BD78" s="106"/>
      <c r="BE78" s="109"/>
      <c r="BF78" s="5"/>
      <c r="BG78" s="49" t="str">
        <f>IF(ISBLANK(BF78),IncompleteText,IF(BF78,OKText,ErrorText))</f>
        <v>BLANK</v>
      </c>
    </row>
    <row r="79" spans="1:59" x14ac:dyDescent="0.25">
      <c r="A79" s="115"/>
      <c r="B79" s="115"/>
      <c r="C79" s="115"/>
      <c r="D79" s="115"/>
      <c r="E79" s="115"/>
      <c r="F79" s="115"/>
      <c r="G79" s="115"/>
      <c r="H79" s="115"/>
      <c r="I79" s="115"/>
      <c r="J79" s="115"/>
      <c r="K79" s="115"/>
      <c r="M79" s="115"/>
      <c r="N79" s="115"/>
      <c r="O79" s="115"/>
      <c r="P79" s="115"/>
      <c r="Q79" s="115"/>
      <c r="R79" s="115"/>
      <c r="S79" s="115"/>
      <c r="T79" s="115"/>
      <c r="U79" s="115"/>
      <c r="V79" s="115"/>
      <c r="W79" s="115"/>
      <c r="AK79" s="225" t="s">
        <v>359</v>
      </c>
      <c r="AL79" s="225"/>
      <c r="AM79" s="225"/>
      <c r="AN79" s="225"/>
      <c r="AO79" s="225"/>
      <c r="AP79" s="225"/>
      <c r="AQ79" s="225"/>
      <c r="AR79" s="225"/>
      <c r="AS79" s="226"/>
      <c r="AT79" s="5"/>
      <c r="AU79" s="49" t="str">
        <f>IF(ISBLANK(AT79),IncompleteText,OKText)</f>
        <v>BLANK</v>
      </c>
      <c r="AW79" s="126" t="s">
        <v>378</v>
      </c>
      <c r="AX79" s="106"/>
      <c r="AY79" s="106"/>
      <c r="AZ79" s="106"/>
      <c r="BA79" s="106"/>
      <c r="BB79" s="106"/>
      <c r="BC79" s="106"/>
      <c r="BD79" s="106"/>
      <c r="BE79" s="109"/>
      <c r="BF79" s="5"/>
      <c r="BG79" s="49" t="str">
        <f>IF(ISBLANK(BF79),IncompleteText,IF(BF79,OKText,ErrorText))</f>
        <v>BLANK</v>
      </c>
    </row>
    <row r="80" spans="1:59" x14ac:dyDescent="0.25">
      <c r="A80" s="115"/>
      <c r="B80" s="115"/>
      <c r="C80" s="115"/>
      <c r="D80" s="115"/>
      <c r="E80" s="115"/>
      <c r="F80" s="115"/>
      <c r="G80" s="115"/>
      <c r="H80" s="115"/>
      <c r="I80" s="115"/>
      <c r="J80" s="115"/>
      <c r="K80" s="115"/>
      <c r="M80" s="115"/>
      <c r="N80" s="115"/>
      <c r="O80" s="115"/>
      <c r="P80" s="115"/>
      <c r="Q80" s="115"/>
      <c r="R80" s="115"/>
      <c r="S80" s="115"/>
      <c r="T80" s="115"/>
      <c r="U80" s="115"/>
      <c r="V80" s="115"/>
      <c r="W80" s="115"/>
      <c r="AK80" s="225" t="s">
        <v>360</v>
      </c>
      <c r="AL80" s="225"/>
      <c r="AM80" s="225"/>
      <c r="AN80" s="225"/>
      <c r="AO80" s="225"/>
      <c r="AP80" s="225"/>
      <c r="AQ80" s="225"/>
      <c r="AR80" s="225"/>
      <c r="AS80" s="226"/>
      <c r="AT80" s="73" t="e">
        <f>VLOOKUP(AT79,ContactorsTable,6,FALSE)</f>
        <v>#N/A</v>
      </c>
      <c r="AU80" s="49" t="str">
        <f>IF(ISNA(AT80),IncompleteText,OKText)</f>
        <v>BLANK</v>
      </c>
      <c r="AW80" s="126" t="s">
        <v>379</v>
      </c>
      <c r="AX80" s="106"/>
      <c r="AY80" s="106"/>
      <c r="AZ80" s="106"/>
      <c r="BA80" s="106"/>
      <c r="BB80" s="106"/>
      <c r="BC80" s="106"/>
      <c r="BD80" s="106"/>
      <c r="BE80" s="109"/>
      <c r="BF80" s="5"/>
      <c r="BG80" s="49" t="str">
        <f>IF(ISBLANK(BF80),IncompleteText,IF(BF80,OKText,ErrorText))</f>
        <v>BLANK</v>
      </c>
    </row>
    <row r="81" spans="1:47" x14ac:dyDescent="0.25">
      <c r="A81" s="115"/>
      <c r="B81" s="115"/>
      <c r="C81" s="115"/>
      <c r="D81" s="115"/>
      <c r="E81" s="115"/>
      <c r="F81" s="115"/>
      <c r="G81" s="115"/>
      <c r="H81" s="115"/>
      <c r="I81" s="115"/>
      <c r="J81" s="115"/>
      <c r="K81" s="115"/>
      <c r="M81" s="115"/>
      <c r="N81" s="115"/>
      <c r="O81" s="115"/>
      <c r="P81" s="115"/>
      <c r="Q81" s="115"/>
      <c r="R81" s="115"/>
      <c r="S81" s="115"/>
      <c r="T81" s="115"/>
      <c r="U81" s="115"/>
      <c r="V81" s="115"/>
      <c r="W81" s="115"/>
      <c r="AK81" s="225" t="s">
        <v>361</v>
      </c>
      <c r="AL81" s="225"/>
      <c r="AM81" s="225"/>
      <c r="AN81" s="225"/>
      <c r="AO81" s="225"/>
      <c r="AP81" s="225"/>
      <c r="AQ81" s="225"/>
      <c r="AR81" s="225"/>
      <c r="AS81" s="231"/>
      <c r="AT81" s="5"/>
      <c r="AU81" s="49" t="str">
        <f>IF(AT78="其他测量方式 Others",OKText,IF(ISBLANK(AT81),IncompleteText,IF(AT81,OKText,ErrorText)))</f>
        <v>BLANK</v>
      </c>
    </row>
    <row r="82" spans="1:47" x14ac:dyDescent="0.25">
      <c r="A82" s="115"/>
      <c r="B82" s="115"/>
      <c r="C82" s="115"/>
      <c r="D82" s="115"/>
      <c r="E82" s="115"/>
      <c r="F82" s="115"/>
      <c r="G82" s="115"/>
      <c r="H82" s="115"/>
      <c r="I82" s="115"/>
      <c r="J82" s="115"/>
      <c r="K82" s="115"/>
      <c r="M82" s="115"/>
      <c r="N82" s="115"/>
      <c r="O82" s="115"/>
      <c r="P82" s="115"/>
      <c r="Q82" s="115"/>
      <c r="R82" s="115"/>
      <c r="S82" s="115"/>
      <c r="T82" s="115"/>
      <c r="U82" s="115"/>
      <c r="V82" s="115"/>
      <c r="W82" s="115"/>
      <c r="AK82" s="225" t="s">
        <v>362</v>
      </c>
      <c r="AL82" s="225"/>
      <c r="AM82" s="225"/>
      <c r="AN82" s="225"/>
      <c r="AO82" s="225"/>
      <c r="AP82" s="225"/>
      <c r="AQ82" s="225"/>
      <c r="AR82" s="225"/>
      <c r="AS82" s="226"/>
      <c r="AT82" s="5"/>
      <c r="AU82" s="49" t="str">
        <f>IF(ISBLANK(AT82),IncompleteText,OKText)</f>
        <v>BLANK</v>
      </c>
    </row>
    <row r="83" spans="1:47" x14ac:dyDescent="0.25">
      <c r="A83" s="115"/>
      <c r="B83" s="115"/>
      <c r="C83" s="115"/>
      <c r="D83" s="115"/>
      <c r="E83" s="115"/>
      <c r="F83" s="115"/>
      <c r="G83" s="115"/>
      <c r="H83" s="115"/>
      <c r="I83" s="115"/>
      <c r="J83" s="115"/>
      <c r="K83" s="115"/>
      <c r="M83" s="115"/>
      <c r="N83" s="115"/>
      <c r="O83" s="115"/>
      <c r="P83" s="115"/>
      <c r="Q83" s="115"/>
      <c r="R83" s="115"/>
      <c r="S83" s="115"/>
      <c r="T83" s="115"/>
      <c r="U83" s="115"/>
      <c r="V83" s="115"/>
      <c r="W83" s="115"/>
      <c r="AK83" s="225" t="s">
        <v>363</v>
      </c>
      <c r="AL83" s="225"/>
      <c r="AM83" s="225"/>
      <c r="AN83" s="225"/>
      <c r="AO83" s="225"/>
      <c r="AP83" s="225"/>
      <c r="AQ83" s="225"/>
      <c r="AR83" s="225"/>
      <c r="AS83" s="226"/>
      <c r="AT83" s="5"/>
      <c r="AU83" s="49" t="str">
        <f>IF(ISBLANK(AT83),IncompleteText,OKText)</f>
        <v>BLANK</v>
      </c>
    </row>
    <row r="84" spans="1:47" x14ac:dyDescent="0.25">
      <c r="A84" s="115"/>
      <c r="B84" s="115"/>
      <c r="C84" s="115"/>
      <c r="D84" s="115"/>
      <c r="E84" s="115"/>
      <c r="F84" s="115"/>
      <c r="G84" s="115"/>
      <c r="H84" s="115"/>
      <c r="I84" s="115"/>
      <c r="J84" s="115"/>
      <c r="K84" s="115"/>
      <c r="M84" s="115"/>
      <c r="N84" s="115"/>
      <c r="O84" s="115"/>
      <c r="P84" s="115"/>
      <c r="Q84" s="115"/>
      <c r="R84" s="115"/>
      <c r="S84" s="115"/>
      <c r="T84" s="115"/>
      <c r="U84" s="115"/>
      <c r="V84" s="115"/>
      <c r="W84" s="115"/>
      <c r="AK84" s="225" t="s">
        <v>364</v>
      </c>
      <c r="AL84" s="225"/>
      <c r="AM84" s="225"/>
      <c r="AN84" s="225"/>
      <c r="AO84" s="225"/>
      <c r="AP84" s="225"/>
      <c r="AQ84" s="225"/>
      <c r="AR84" s="225"/>
      <c r="AS84" s="226"/>
      <c r="AT84" s="73" t="e">
        <f>VLOOKUP(AT83,ContactorsTable,6,FALSE)</f>
        <v>#N/A</v>
      </c>
      <c r="AU84" s="49" t="str">
        <f>IF(ISNA(AT84),IncompleteText,OKText)</f>
        <v>BLANK</v>
      </c>
    </row>
    <row r="85" spans="1:47" x14ac:dyDescent="0.25">
      <c r="A85" s="115"/>
      <c r="B85" s="115"/>
      <c r="C85" s="115"/>
      <c r="D85" s="115"/>
      <c r="E85" s="115"/>
      <c r="F85" s="115"/>
      <c r="G85" s="115"/>
      <c r="H85" s="115"/>
      <c r="I85" s="115"/>
      <c r="J85" s="115"/>
      <c r="K85" s="115"/>
      <c r="M85" s="115"/>
      <c r="N85" s="115"/>
      <c r="O85" s="115"/>
      <c r="P85" s="115"/>
      <c r="Q85" s="115"/>
      <c r="R85" s="115"/>
      <c r="S85" s="115"/>
      <c r="T85" s="115"/>
      <c r="U85" s="115"/>
      <c r="V85" s="115"/>
      <c r="W85" s="115"/>
      <c r="AK85" s="225" t="s">
        <v>361</v>
      </c>
      <c r="AL85" s="225"/>
      <c r="AM85" s="225"/>
      <c r="AN85" s="225"/>
      <c r="AO85" s="225"/>
      <c r="AP85" s="225"/>
      <c r="AQ85" s="225"/>
      <c r="AR85" s="225"/>
      <c r="AS85" s="231"/>
      <c r="AT85" s="5"/>
      <c r="AU85" s="49" t="str">
        <f>IF(ISBLANK(AT85),IncompleteText,IF(AT85,OKText,ErrorText))</f>
        <v>BLANK</v>
      </c>
    </row>
    <row r="86" spans="1:47" x14ac:dyDescent="0.25">
      <c r="A86" s="115"/>
      <c r="B86" s="115"/>
      <c r="C86" s="115"/>
      <c r="D86" s="115"/>
      <c r="E86" s="115"/>
      <c r="F86" s="115"/>
      <c r="G86" s="115"/>
      <c r="H86" s="115"/>
      <c r="I86" s="115"/>
      <c r="J86" s="115"/>
      <c r="K86" s="115"/>
      <c r="M86" s="115"/>
      <c r="N86" s="115"/>
      <c r="O86" s="115"/>
      <c r="P86" s="115"/>
      <c r="Q86" s="115"/>
      <c r="R86" s="115"/>
      <c r="S86" s="115"/>
      <c r="T86" s="115"/>
      <c r="U86" s="115"/>
      <c r="V86" s="115"/>
      <c r="W86" s="115"/>
      <c r="AK86" s="225" t="s">
        <v>365</v>
      </c>
      <c r="AL86" s="225"/>
      <c r="AM86" s="225"/>
      <c r="AN86" s="225"/>
      <c r="AO86" s="225"/>
      <c r="AP86" s="225"/>
      <c r="AQ86" s="225"/>
      <c r="AR86" s="225"/>
      <c r="AS86" s="226"/>
      <c r="AT86" s="5"/>
      <c r="AU86" s="49" t="str">
        <f>IF(AT78="辅助触点 Auxiliary Contacts",OKText,IF(ISBLANK(AT86),IncompleteText,IF(AT86,OKText,ErrorText)))</f>
        <v>BLANK</v>
      </c>
    </row>
    <row r="87" spans="1:47" ht="42" customHeight="1" x14ac:dyDescent="0.25">
      <c r="A87" s="115"/>
      <c r="B87" s="115"/>
      <c r="C87" s="115"/>
      <c r="D87" s="115"/>
      <c r="E87" s="115"/>
      <c r="F87" s="115"/>
      <c r="G87" s="115"/>
      <c r="H87" s="115"/>
      <c r="I87" s="115"/>
      <c r="J87" s="115"/>
      <c r="K87" s="115"/>
      <c r="M87" s="115"/>
      <c r="N87" s="115"/>
      <c r="O87" s="115"/>
      <c r="P87" s="115"/>
      <c r="Q87" s="115"/>
      <c r="R87" s="115"/>
      <c r="S87" s="115"/>
      <c r="T87" s="115"/>
      <c r="U87" s="115"/>
      <c r="V87" s="115"/>
      <c r="W87" s="115"/>
      <c r="AK87" s="157" t="s">
        <v>366</v>
      </c>
      <c r="AL87" s="225"/>
      <c r="AM87" s="225"/>
      <c r="AN87" s="225"/>
      <c r="AO87" s="225"/>
      <c r="AP87" s="225"/>
      <c r="AQ87" s="225"/>
      <c r="AR87" s="225"/>
      <c r="AS87" s="226"/>
      <c r="AT87" s="5"/>
      <c r="AU87" s="49" t="str">
        <f>IF(AT78="辅助触点 Auxiliary Contacts",OKText,IF(ISBLANK(AT87),IncompleteText,IF(AT87,OKText,ErrorText)))</f>
        <v>BLANK</v>
      </c>
    </row>
    <row r="88" spans="1:47" x14ac:dyDescent="0.25">
      <c r="A88" s="115"/>
      <c r="B88" s="115"/>
      <c r="C88" s="115"/>
      <c r="D88" s="115"/>
      <c r="E88" s="115"/>
      <c r="F88" s="115"/>
      <c r="G88" s="115"/>
      <c r="H88" s="115"/>
      <c r="I88" s="115"/>
      <c r="J88" s="115"/>
      <c r="K88" s="115"/>
      <c r="M88" s="115"/>
      <c r="N88" s="115"/>
      <c r="O88" s="115"/>
      <c r="P88" s="115"/>
      <c r="Q88" s="115"/>
      <c r="R88" s="115"/>
      <c r="S88" s="115"/>
      <c r="T88" s="115"/>
      <c r="U88" s="115"/>
      <c r="V88" s="115"/>
      <c r="W88" s="115"/>
      <c r="AK88" s="225" t="s">
        <v>367</v>
      </c>
      <c r="AL88" s="225"/>
      <c r="AM88" s="225"/>
      <c r="AN88" s="225"/>
      <c r="AO88" s="225"/>
      <c r="AP88" s="225"/>
      <c r="AQ88" s="225"/>
      <c r="AR88" s="225"/>
      <c r="AS88" s="225"/>
      <c r="AT88" s="5"/>
      <c r="AU88" s="49" t="str">
        <f>IF(ISBLANK(AT88),IncompleteText, IF(AT88, OKText, ErrorText))</f>
        <v>BLANK</v>
      </c>
    </row>
    <row r="89" spans="1:47" ht="42" customHeight="1" x14ac:dyDescent="0.25">
      <c r="A89" s="115"/>
      <c r="B89" s="115"/>
      <c r="C89" s="115"/>
      <c r="D89" s="115"/>
      <c r="E89" s="115"/>
      <c r="F89" s="115"/>
      <c r="G89" s="115"/>
      <c r="H89" s="115"/>
      <c r="I89" s="115"/>
      <c r="J89" s="115"/>
      <c r="K89" s="115"/>
      <c r="M89" s="115"/>
      <c r="N89" s="115"/>
      <c r="O89" s="115"/>
      <c r="P89" s="115"/>
      <c r="Q89" s="115"/>
      <c r="R89" s="115"/>
      <c r="S89" s="115"/>
      <c r="T89" s="115"/>
      <c r="U89" s="115"/>
      <c r="V89" s="115"/>
      <c r="W89" s="115"/>
      <c r="AK89" s="157" t="s">
        <v>368</v>
      </c>
      <c r="AL89" s="157"/>
      <c r="AM89" s="157"/>
      <c r="AN89" s="157"/>
      <c r="AO89" s="157"/>
      <c r="AP89" s="157"/>
      <c r="AQ89" s="157"/>
      <c r="AR89" s="157"/>
      <c r="AS89" s="157"/>
      <c r="AT89" s="5"/>
      <c r="AU89" s="49" t="str">
        <f>IF(ISBLANK(AT89),IncompleteText, IF(AT89, OKText, ErrorText))</f>
        <v>BLANK</v>
      </c>
    </row>
    <row r="90" spans="1:47" x14ac:dyDescent="0.25">
      <c r="A90" s="115"/>
      <c r="B90" s="115"/>
      <c r="C90" s="115"/>
      <c r="D90" s="115"/>
      <c r="E90" s="115"/>
      <c r="F90" s="115"/>
      <c r="G90" s="115"/>
      <c r="H90" s="115"/>
      <c r="I90" s="115"/>
      <c r="J90" s="115"/>
      <c r="K90" s="115"/>
      <c r="M90" s="115"/>
      <c r="N90" s="115"/>
      <c r="O90" s="115"/>
      <c r="P90" s="115"/>
      <c r="Q90" s="115"/>
      <c r="R90" s="115"/>
      <c r="S90" s="115"/>
      <c r="T90" s="115"/>
      <c r="U90" s="115"/>
      <c r="V90" s="115"/>
      <c r="W90" s="115"/>
      <c r="AK90" s="225" t="s">
        <v>347</v>
      </c>
      <c r="AL90" s="225"/>
      <c r="AM90" s="225"/>
      <c r="AN90" s="225"/>
      <c r="AO90" s="225"/>
      <c r="AP90" s="225"/>
      <c r="AQ90" s="225"/>
      <c r="AR90" s="225"/>
      <c r="AS90" s="226"/>
      <c r="AT90" s="5"/>
      <c r="AU90" s="49" t="str">
        <f>IF(ISBLANK(AT90),IncompleteText,OKText)</f>
        <v>BLANK</v>
      </c>
    </row>
    <row r="91" spans="1:47" x14ac:dyDescent="0.25">
      <c r="A91" s="115"/>
      <c r="B91" s="115"/>
      <c r="C91" s="115"/>
      <c r="D91" s="115"/>
      <c r="E91" s="115"/>
      <c r="F91" s="115"/>
      <c r="G91" s="115"/>
      <c r="H91" s="115"/>
      <c r="I91" s="115"/>
      <c r="J91" s="115"/>
      <c r="K91" s="115"/>
      <c r="M91" s="115"/>
      <c r="N91" s="115"/>
      <c r="O91" s="115"/>
      <c r="P91" s="115"/>
      <c r="Q91" s="115"/>
      <c r="R91" s="115"/>
      <c r="S91" s="115"/>
      <c r="T91" s="115"/>
      <c r="U91" s="115"/>
      <c r="V91" s="115"/>
      <c r="W91" s="115"/>
      <c r="AK91" s="225" t="s">
        <v>369</v>
      </c>
      <c r="AL91" s="225"/>
      <c r="AM91" s="225"/>
      <c r="AN91" s="225"/>
      <c r="AO91" s="225"/>
      <c r="AP91" s="225"/>
      <c r="AQ91" s="225"/>
      <c r="AR91" s="225"/>
      <c r="AS91" s="226"/>
      <c r="AT91" s="5"/>
      <c r="AU91" s="49" t="str">
        <f>IF(AT$90="车队自制原理 Team design",OKText,IF(ISBLANK(AT91),IncompleteText,OKText))</f>
        <v>BLANK</v>
      </c>
    </row>
    <row r="92" spans="1:47" x14ac:dyDescent="0.25">
      <c r="A92" s="115"/>
      <c r="B92" s="115"/>
      <c r="C92" s="115"/>
      <c r="D92" s="115"/>
      <c r="E92" s="115"/>
      <c r="F92" s="115"/>
      <c r="G92" s="115"/>
      <c r="H92" s="115"/>
      <c r="I92" s="115"/>
      <c r="J92" s="115"/>
      <c r="K92" s="115"/>
      <c r="M92" s="115"/>
      <c r="N92" s="115"/>
      <c r="O92" s="115"/>
      <c r="P92" s="115"/>
      <c r="Q92" s="115"/>
      <c r="R92" s="115"/>
      <c r="S92" s="115"/>
      <c r="T92" s="115"/>
      <c r="U92" s="115"/>
      <c r="V92" s="115"/>
      <c r="W92" s="115"/>
      <c r="AK92" s="225" t="s">
        <v>348</v>
      </c>
      <c r="AL92" s="225"/>
      <c r="AM92" s="225"/>
      <c r="AN92" s="225"/>
      <c r="AO92" s="225"/>
      <c r="AP92" s="225"/>
      <c r="AQ92" s="225"/>
      <c r="AR92" s="225"/>
      <c r="AS92" s="226"/>
      <c r="AT92" s="5"/>
      <c r="AU92" s="49" t="str">
        <f>IF(AT$90="车队自制原理 Team design",OKText,IF(ISBLANK(AT92),IncompleteText,OKText))</f>
        <v>BLANK</v>
      </c>
    </row>
    <row r="93" spans="1:47" x14ac:dyDescent="0.25">
      <c r="A93" s="115"/>
      <c r="B93" s="115"/>
      <c r="C93" s="115"/>
      <c r="D93" s="115"/>
      <c r="E93" s="115"/>
      <c r="F93" s="115"/>
      <c r="G93" s="115"/>
      <c r="H93" s="115"/>
      <c r="I93" s="115"/>
      <c r="J93" s="115"/>
      <c r="K93" s="115"/>
      <c r="M93" s="115"/>
      <c r="N93" s="115"/>
      <c r="O93" s="115"/>
      <c r="P93" s="115"/>
      <c r="Q93" s="115"/>
      <c r="R93" s="115"/>
      <c r="S93" s="115"/>
      <c r="T93" s="115"/>
      <c r="U93" s="115"/>
      <c r="V93" s="115"/>
      <c r="W93" s="115"/>
      <c r="AK93" s="225" t="s">
        <v>349</v>
      </c>
      <c r="AL93" s="225"/>
      <c r="AM93" s="225"/>
      <c r="AN93" s="225"/>
      <c r="AO93" s="225"/>
      <c r="AP93" s="225"/>
      <c r="AQ93" s="225"/>
      <c r="AR93" s="225"/>
      <c r="AS93" s="226"/>
      <c r="AT93" s="5"/>
      <c r="AU93" s="49" t="str">
        <f>IF(AT$90="购买传感器 Purchased",OKText,IF(ISBLANK(AT93),IncompleteText, IF(AT93, OKText, ErrorText)))</f>
        <v>BLANK</v>
      </c>
    </row>
    <row r="94" spans="1:47" ht="37.5" customHeight="1" x14ac:dyDescent="0.25">
      <c r="A94" s="115"/>
      <c r="B94" s="115"/>
      <c r="C94" s="115"/>
      <c r="D94" s="115"/>
      <c r="E94" s="115"/>
      <c r="F94" s="115"/>
      <c r="G94" s="115"/>
      <c r="H94" s="115"/>
      <c r="I94" s="115"/>
      <c r="J94" s="115"/>
      <c r="K94" s="115"/>
      <c r="M94" s="115"/>
      <c r="N94" s="115"/>
      <c r="O94" s="115"/>
      <c r="P94" s="115"/>
      <c r="Q94" s="115"/>
      <c r="R94" s="115"/>
      <c r="S94" s="115"/>
      <c r="T94" s="115"/>
      <c r="U94" s="115"/>
      <c r="V94" s="115"/>
      <c r="W94" s="115"/>
      <c r="AK94" s="157" t="s">
        <v>370</v>
      </c>
      <c r="AL94" s="157"/>
      <c r="AM94" s="157"/>
      <c r="AN94" s="157"/>
      <c r="AO94" s="157"/>
      <c r="AP94" s="157"/>
      <c r="AQ94" s="157"/>
      <c r="AR94" s="157"/>
      <c r="AS94" s="158"/>
      <c r="AT94" s="5"/>
      <c r="AU94" s="49" t="str">
        <f>IF(AT$90="购买传感器 Purchased",OKText,IF(ISBLANK(AT94),IncompleteText, IF(AT94, OKText, ErrorText)))</f>
        <v>BLANK</v>
      </c>
    </row>
    <row r="95" spans="1:47" x14ac:dyDescent="0.25">
      <c r="A95" s="220" t="s">
        <v>232</v>
      </c>
      <c r="B95" s="221"/>
      <c r="C95" s="218" t="s">
        <v>453</v>
      </c>
      <c r="D95" s="218"/>
      <c r="E95" s="218"/>
      <c r="F95" s="218"/>
      <c r="G95" s="218"/>
      <c r="H95" s="218"/>
      <c r="I95" s="218"/>
      <c r="J95" s="218"/>
      <c r="K95" s="117" t="str">
        <f>IF(AND(J97=FALSE,NOT(ISBLANK(J97))),OKText,IF(COUNTIF(K97:K99, "="&amp;IncompleteText), IncompleteText, IF(COUNTIF(K97:K99, "="&amp;ErrorText), ErrorText, OKText)))</f>
        <v>BLANK</v>
      </c>
      <c r="M95" s="220" t="s">
        <v>232</v>
      </c>
      <c r="N95" s="221"/>
      <c r="O95" s="223" t="s">
        <v>457</v>
      </c>
      <c r="P95" s="223"/>
      <c r="Q95" s="223"/>
      <c r="R95" s="223"/>
      <c r="S95" s="223"/>
      <c r="T95" s="223"/>
      <c r="U95" s="223"/>
      <c r="V95" s="223"/>
      <c r="W95" s="117" t="str">
        <f>IF(AND(V97=FALSE,NOT(ISBLANK(V97))),OKText,IF(COUNTIF(W97:W99, "="&amp;IncompleteText), IncompleteText, IF(COUNTIF(W97:W99, "="&amp;ErrorText), ErrorText, OKText)))</f>
        <v>BLANK</v>
      </c>
      <c r="AK95" s="225" t="s">
        <v>350</v>
      </c>
      <c r="AL95" s="225"/>
      <c r="AM95" s="225"/>
      <c r="AN95" s="225"/>
      <c r="AO95" s="225"/>
      <c r="AP95" s="225"/>
      <c r="AQ95" s="225"/>
      <c r="AR95" s="225"/>
      <c r="AS95" s="226"/>
      <c r="AT95" s="5"/>
      <c r="AU95" s="49" t="str">
        <f>IF(AT90="购买传感器 Purchased",OKText,IF(ISBLANK(AT95),IncompleteText, IF(ISBLANK(AT95), ErrorText,OKText)))</f>
        <v>BLANK</v>
      </c>
    </row>
    <row r="96" spans="1:47" x14ac:dyDescent="0.25">
      <c r="A96" s="222"/>
      <c r="B96" s="222"/>
      <c r="C96" s="78"/>
      <c r="D96" s="78"/>
      <c r="E96" s="78"/>
      <c r="F96" s="78"/>
      <c r="G96" s="78"/>
      <c r="H96" s="78"/>
      <c r="I96" s="78"/>
      <c r="J96" s="78"/>
      <c r="K96" s="96"/>
      <c r="M96" s="222"/>
      <c r="N96" s="222"/>
      <c r="O96" s="224"/>
      <c r="P96" s="224"/>
      <c r="Q96" s="224"/>
      <c r="R96" s="224"/>
      <c r="S96" s="224"/>
      <c r="T96" s="224"/>
      <c r="U96" s="224"/>
      <c r="V96" s="224"/>
      <c r="W96" s="96"/>
      <c r="AK96" s="225" t="s">
        <v>371</v>
      </c>
      <c r="AL96" s="225"/>
      <c r="AM96" s="225"/>
      <c r="AN96" s="225"/>
      <c r="AO96" s="225"/>
      <c r="AP96" s="225"/>
      <c r="AQ96" s="225"/>
      <c r="AR96" s="225"/>
      <c r="AS96" s="226"/>
      <c r="AT96" s="5"/>
      <c r="AU96" s="49" t="str">
        <f>IF(AT$90="购买传感器 Purchased",OKText,IF(ISBLANK(AT96),IncompleteText, IF(AT96, OKText, ErrorText)))</f>
        <v>BLANK</v>
      </c>
    </row>
    <row r="97" spans="1:47" ht="21" customHeight="1" x14ac:dyDescent="0.25">
      <c r="A97" s="252" t="s">
        <v>538</v>
      </c>
      <c r="B97" s="252"/>
      <c r="C97" s="150" t="s">
        <v>454</v>
      </c>
      <c r="D97" s="150"/>
      <c r="E97" s="150"/>
      <c r="F97" s="150"/>
      <c r="G97" s="150"/>
      <c r="H97" s="150"/>
      <c r="I97" s="250"/>
      <c r="J97" s="58"/>
      <c r="K97" s="49" t="str">
        <f>IF(ISBLANK(J97),IncompleteText, OKText)</f>
        <v>BLANK</v>
      </c>
      <c r="M97" s="204" t="s">
        <v>545</v>
      </c>
      <c r="N97" s="204"/>
      <c r="O97" s="150" t="s">
        <v>458</v>
      </c>
      <c r="P97" s="150"/>
      <c r="Q97" s="150"/>
      <c r="R97" s="150"/>
      <c r="S97" s="150"/>
      <c r="T97" s="150"/>
      <c r="U97" s="151"/>
      <c r="V97" s="5"/>
      <c r="W97" s="49" t="str">
        <f>IF(ISBLANK(V97),IncompleteText, OKText)</f>
        <v>BLANK</v>
      </c>
      <c r="AK97" s="225" t="s">
        <v>352</v>
      </c>
      <c r="AL97" s="225"/>
      <c r="AM97" s="225"/>
      <c r="AN97" s="225"/>
      <c r="AO97" s="225"/>
      <c r="AP97" s="225"/>
      <c r="AQ97" s="225"/>
      <c r="AR97" s="225"/>
      <c r="AS97" s="226"/>
      <c r="AT97" s="5"/>
      <c r="AU97" s="49" t="str">
        <f>IF(ISBLANK(AT97),IncompleteText, IF(ISBLANK(AT97), ErrorText,OKText))</f>
        <v>BLANK</v>
      </c>
    </row>
    <row r="98" spans="1:47" ht="27" customHeight="1" x14ac:dyDescent="0.25">
      <c r="A98" s="252"/>
      <c r="B98" s="252"/>
      <c r="C98" s="155" t="s">
        <v>456</v>
      </c>
      <c r="D98" s="155"/>
      <c r="E98" s="155"/>
      <c r="F98" s="155"/>
      <c r="G98" s="155"/>
      <c r="H98" s="155"/>
      <c r="I98" s="251"/>
      <c r="J98" s="67"/>
      <c r="K98" s="49" t="str">
        <f t="shared" ref="K98:K99" si="1">IF(ISBLANK(J98),IncompleteText, IF(J98, OKText, ErrorText))</f>
        <v>BLANK</v>
      </c>
      <c r="M98" s="204"/>
      <c r="N98" s="204"/>
      <c r="O98" s="150" t="s">
        <v>459</v>
      </c>
      <c r="P98" s="150"/>
      <c r="Q98" s="150"/>
      <c r="R98" s="150"/>
      <c r="S98" s="150"/>
      <c r="T98" s="150"/>
      <c r="U98" s="151"/>
      <c r="V98" s="5"/>
      <c r="W98" s="49" t="str">
        <f t="shared" ref="W98:W99" si="2">IF(ISBLANK(V98),IncompleteText, IF(V98, OKText, ErrorText))</f>
        <v>BLANK</v>
      </c>
      <c r="AK98" s="225" t="s">
        <v>353</v>
      </c>
      <c r="AL98" s="225"/>
      <c r="AM98" s="225"/>
      <c r="AN98" s="225"/>
      <c r="AO98" s="225"/>
      <c r="AP98" s="225"/>
      <c r="AQ98" s="225"/>
      <c r="AR98" s="225"/>
      <c r="AS98" s="226"/>
      <c r="AT98" s="73" t="e">
        <f>VLOOKUP(AT97,FuseTable,2,FALSE)</f>
        <v>#N/A</v>
      </c>
      <c r="AU98" s="49" t="str">
        <f>IF(ISNA(AT98),IncompleteText, OKText)</f>
        <v>BLANK</v>
      </c>
    </row>
    <row r="99" spans="1:47" ht="43.5" customHeight="1" x14ac:dyDescent="0.25">
      <c r="A99" s="252"/>
      <c r="B99" s="252"/>
      <c r="C99" s="150" t="s">
        <v>455</v>
      </c>
      <c r="D99" s="150"/>
      <c r="E99" s="150"/>
      <c r="F99" s="150"/>
      <c r="G99" s="150"/>
      <c r="H99" s="150"/>
      <c r="I99" s="250"/>
      <c r="J99" s="67"/>
      <c r="K99" s="49" t="str">
        <f t="shared" si="1"/>
        <v>BLANK</v>
      </c>
      <c r="M99" s="204"/>
      <c r="N99" s="204"/>
      <c r="O99" s="150" t="s">
        <v>460</v>
      </c>
      <c r="P99" s="150"/>
      <c r="Q99" s="150"/>
      <c r="R99" s="150"/>
      <c r="S99" s="150"/>
      <c r="T99" s="150"/>
      <c r="U99" s="151"/>
      <c r="V99" s="5"/>
      <c r="W99" s="49" t="str">
        <f t="shared" si="2"/>
        <v>BLANK</v>
      </c>
      <c r="AK99" s="157" t="s">
        <v>372</v>
      </c>
      <c r="AL99" s="157"/>
      <c r="AM99" s="157"/>
      <c r="AN99" s="157"/>
      <c r="AO99" s="157"/>
      <c r="AP99" s="157"/>
      <c r="AQ99" s="157"/>
      <c r="AR99" s="157"/>
      <c r="AS99" s="158"/>
      <c r="AT99" s="5"/>
      <c r="AU99" s="49" t="str">
        <f>IF(ISBLANK(AT99),IncompleteText, IF(AT99, OKText, ErrorText))</f>
        <v>BLANK</v>
      </c>
    </row>
    <row r="100" spans="1:47" ht="34.200000000000003" customHeight="1" x14ac:dyDescent="0.25">
      <c r="AK100" s="157" t="s">
        <v>373</v>
      </c>
      <c r="AL100" s="157"/>
      <c r="AM100" s="157"/>
      <c r="AN100" s="157"/>
      <c r="AO100" s="157"/>
      <c r="AP100" s="157"/>
      <c r="AQ100" s="157"/>
      <c r="AR100" s="157"/>
      <c r="AS100" s="157"/>
      <c r="AT100" s="5"/>
      <c r="AU100" s="49" t="str">
        <f>IF(ISBLANK(AT100),IncompleteText, IF(AT100, OKText, ErrorText))</f>
        <v>BLANK</v>
      </c>
    </row>
  </sheetData>
  <sheetProtection algorithmName="SHA-512" hashValue="sitxnF/0Q/LDdcuGlC82svi40/SYNPWG+4ptSAo59kgck4n0APM1LpHote5ehZtu+JbFvukTwyB55Gy+MT4nPw==" saltValue="UG44nc3G9CD3u+nBqPy3ew==" spinCount="100000" sheet="1" scenarios="1" insertHyperlinks="0"/>
  <mergeCells count="184">
    <mergeCell ref="AK80:AS80"/>
    <mergeCell ref="AK82:AS82"/>
    <mergeCell ref="AK83:AS83"/>
    <mergeCell ref="AI49:AI50"/>
    <mergeCell ref="Y50:AH50"/>
    <mergeCell ref="Y58:AF58"/>
    <mergeCell ref="Y59:AF59"/>
    <mergeCell ref="Y60:AF60"/>
    <mergeCell ref="Y61:AF61"/>
    <mergeCell ref="Y62:AF62"/>
    <mergeCell ref="M38:U38"/>
    <mergeCell ref="M39:U39"/>
    <mergeCell ref="M41:U41"/>
    <mergeCell ref="M69:W94"/>
    <mergeCell ref="AK9:AU34"/>
    <mergeCell ref="Y39:AG39"/>
    <mergeCell ref="Y38:AG38"/>
    <mergeCell ref="Y37:AG37"/>
    <mergeCell ref="AI35:AI36"/>
    <mergeCell ref="Y9:AI34"/>
    <mergeCell ref="AH43:AI46"/>
    <mergeCell ref="AH42:AI42"/>
    <mergeCell ref="Y43:AG46"/>
    <mergeCell ref="Y51:AG51"/>
    <mergeCell ref="Y52:AG52"/>
    <mergeCell ref="Y55:AH55"/>
    <mergeCell ref="Y63:AF63"/>
    <mergeCell ref="Y56:AH56"/>
    <mergeCell ref="Y57:AF57"/>
    <mergeCell ref="AI55:AI57"/>
    <mergeCell ref="Y42:AG42"/>
    <mergeCell ref="Y41:AG41"/>
    <mergeCell ref="Y40:AG40"/>
    <mergeCell ref="AK47:AS47"/>
    <mergeCell ref="A62:B62"/>
    <mergeCell ref="C62:I62"/>
    <mergeCell ref="A58:B58"/>
    <mergeCell ref="C58:I58"/>
    <mergeCell ref="A59:B59"/>
    <mergeCell ref="C59:I59"/>
    <mergeCell ref="A60:B60"/>
    <mergeCell ref="C60:I60"/>
    <mergeCell ref="C55:I55"/>
    <mergeCell ref="C56:I56"/>
    <mergeCell ref="C61:I61"/>
    <mergeCell ref="A61:B61"/>
    <mergeCell ref="A54:B56"/>
    <mergeCell ref="A57:B57"/>
    <mergeCell ref="C97:I97"/>
    <mergeCell ref="C98:I98"/>
    <mergeCell ref="C99:I99"/>
    <mergeCell ref="A97:B99"/>
    <mergeCell ref="J63:K63"/>
    <mergeCell ref="A64:I67"/>
    <mergeCell ref="J64:K67"/>
    <mergeCell ref="A69:K94"/>
    <mergeCell ref="K95:K96"/>
    <mergeCell ref="A63:I63"/>
    <mergeCell ref="A95:B96"/>
    <mergeCell ref="C95:J96"/>
    <mergeCell ref="A48:B48"/>
    <mergeCell ref="C48:I48"/>
    <mergeCell ref="A49:B49"/>
    <mergeCell ref="C49:I49"/>
    <mergeCell ref="A50:B50"/>
    <mergeCell ref="C50:I50"/>
    <mergeCell ref="A51:B51"/>
    <mergeCell ref="C51:I51"/>
    <mergeCell ref="C57:I57"/>
    <mergeCell ref="A52:B52"/>
    <mergeCell ref="C52:I52"/>
    <mergeCell ref="A53:B53"/>
    <mergeCell ref="C53:I53"/>
    <mergeCell ref="C54:I54"/>
    <mergeCell ref="A44:B44"/>
    <mergeCell ref="C43:I43"/>
    <mergeCell ref="C44:I44"/>
    <mergeCell ref="A45:B45"/>
    <mergeCell ref="C45:I45"/>
    <mergeCell ref="A46:B46"/>
    <mergeCell ref="C46:I46"/>
    <mergeCell ref="A47:B47"/>
    <mergeCell ref="C47:I47"/>
    <mergeCell ref="A38:B38"/>
    <mergeCell ref="C38:I38"/>
    <mergeCell ref="A39:B39"/>
    <mergeCell ref="C39:I39"/>
    <mergeCell ref="A40:B40"/>
    <mergeCell ref="C40:I40"/>
    <mergeCell ref="A42:B42"/>
    <mergeCell ref="C41:I41"/>
    <mergeCell ref="A43:B43"/>
    <mergeCell ref="C42:I42"/>
    <mergeCell ref="A41:B41"/>
    <mergeCell ref="K5:L5"/>
    <mergeCell ref="H6:J6"/>
    <mergeCell ref="H7:J7"/>
    <mergeCell ref="H8:J8"/>
    <mergeCell ref="A5:C5"/>
    <mergeCell ref="H5:J5"/>
    <mergeCell ref="A10:K35"/>
    <mergeCell ref="K36:K37"/>
    <mergeCell ref="A6:C6"/>
    <mergeCell ref="D6:E6"/>
    <mergeCell ref="A7:C7"/>
    <mergeCell ref="D7:E7"/>
    <mergeCell ref="A8:C8"/>
    <mergeCell ref="D8:E8"/>
    <mergeCell ref="A36:B37"/>
    <mergeCell ref="C36:J37"/>
    <mergeCell ref="A2:E2"/>
    <mergeCell ref="F2:F3"/>
    <mergeCell ref="A3:C3"/>
    <mergeCell ref="D3:E3"/>
    <mergeCell ref="A4:C4"/>
    <mergeCell ref="D4:E4"/>
    <mergeCell ref="H2:L2"/>
    <mergeCell ref="M2:M3"/>
    <mergeCell ref="H3:J3"/>
    <mergeCell ref="K3:L3"/>
    <mergeCell ref="H4:J4"/>
    <mergeCell ref="K4:L4"/>
    <mergeCell ref="AW9:BG34"/>
    <mergeCell ref="AU35:AU36"/>
    <mergeCell ref="AK37:AS37"/>
    <mergeCell ref="AK38:AS38"/>
    <mergeCell ref="AK39:AS39"/>
    <mergeCell ref="AW36:BG36"/>
    <mergeCell ref="AW37:BG46"/>
    <mergeCell ref="AK40:AS40"/>
    <mergeCell ref="AK41:AS41"/>
    <mergeCell ref="AK42:AS42"/>
    <mergeCell ref="AK43:AS43"/>
    <mergeCell ref="AK44:AS44"/>
    <mergeCell ref="AK45:AS45"/>
    <mergeCell ref="AK46:AS46"/>
    <mergeCell ref="AK100:AS100"/>
    <mergeCell ref="AK91:AS91"/>
    <mergeCell ref="AK92:AS92"/>
    <mergeCell ref="AK93:AS93"/>
    <mergeCell ref="AK94:AS94"/>
    <mergeCell ref="AK95:AS95"/>
    <mergeCell ref="AK96:AS96"/>
    <mergeCell ref="Y49:AH49"/>
    <mergeCell ref="M42:U42"/>
    <mergeCell ref="V42:W42"/>
    <mergeCell ref="M43:U46"/>
    <mergeCell ref="V43:W46"/>
    <mergeCell ref="AK88:AS88"/>
    <mergeCell ref="AK89:AS89"/>
    <mergeCell ref="AK90:AS90"/>
    <mergeCell ref="AK84:AS84"/>
    <mergeCell ref="AK81:AS81"/>
    <mergeCell ref="AK85:AS85"/>
    <mergeCell ref="AK86:AS86"/>
    <mergeCell ref="AK87:AS87"/>
    <mergeCell ref="AK50:AU75"/>
    <mergeCell ref="AU76:AU77"/>
    <mergeCell ref="AK78:AS78"/>
    <mergeCell ref="AK79:AS79"/>
    <mergeCell ref="Y35:AH36"/>
    <mergeCell ref="M36:V37"/>
    <mergeCell ref="AK35:AT36"/>
    <mergeCell ref="M95:N96"/>
    <mergeCell ref="O95:V96"/>
    <mergeCell ref="AK76:AT77"/>
    <mergeCell ref="AW76:BF77"/>
    <mergeCell ref="W95:W96"/>
    <mergeCell ref="M97:N99"/>
    <mergeCell ref="O97:U97"/>
    <mergeCell ref="O98:U98"/>
    <mergeCell ref="O99:U99"/>
    <mergeCell ref="M40:U40"/>
    <mergeCell ref="AK97:AS97"/>
    <mergeCell ref="AK98:AS98"/>
    <mergeCell ref="AK99:AS99"/>
    <mergeCell ref="AK48:AS48"/>
    <mergeCell ref="AW50:BG75"/>
    <mergeCell ref="BG76:BG77"/>
    <mergeCell ref="AW78:BE78"/>
    <mergeCell ref="AW79:BE79"/>
    <mergeCell ref="AW80:BE80"/>
    <mergeCell ref="M10:W35"/>
    <mergeCell ref="W36:W37"/>
  </mergeCells>
  <phoneticPr fontId="12" type="noConversion"/>
  <conditionalFormatting sqref="C98:K99">
    <cfRule type="expression" dxfId="15" priority="1">
      <formula>AND($K$97=OKText,NOT($J$97))</formula>
    </cfRule>
  </conditionalFormatting>
  <conditionalFormatting sqref="K95:K99 W36:W41">
    <cfRule type="cellIs" dxfId="14" priority="13" operator="equal">
      <formula>ErrorText</formula>
    </cfRule>
  </conditionalFormatting>
  <conditionalFormatting sqref="W95:W99">
    <cfRule type="cellIs" dxfId="13" priority="2" operator="equal">
      <formula>ErrorText</formula>
    </cfRule>
  </conditionalFormatting>
  <conditionalFormatting sqref="AK38:AU39">
    <cfRule type="expression" dxfId="12" priority="47">
      <formula>$AT$37="车队自制原理 team made"</formula>
    </cfRule>
  </conditionalFormatting>
  <conditionalFormatting sqref="AK40:AU43">
    <cfRule type="expression" dxfId="11" priority="44">
      <formula>$AT$37="供应商 Purchased"</formula>
    </cfRule>
  </conditionalFormatting>
  <conditionalFormatting sqref="AK81:AU81">
    <cfRule type="expression" dxfId="10" priority="36">
      <formula>$AT$78="其他测量方式 Others"</formula>
    </cfRule>
  </conditionalFormatting>
  <conditionalFormatting sqref="AK85:AU85">
    <cfRule type="expression" dxfId="9" priority="34">
      <formula>$AT$82="其他测量方式 Others"</formula>
    </cfRule>
  </conditionalFormatting>
  <conditionalFormatting sqref="AK86:AU87">
    <cfRule type="expression" dxfId="8" priority="31">
      <formula>$AT$78="辅助触点 Auxiliary Contacts"</formula>
    </cfRule>
  </conditionalFormatting>
  <conditionalFormatting sqref="AK91:AU92">
    <cfRule type="expression" dxfId="7" priority="4">
      <formula>$AT$90="车队自制原理 Team design"</formula>
    </cfRule>
  </conditionalFormatting>
  <conditionalFormatting sqref="AK93:AU96">
    <cfRule type="expression" dxfId="6" priority="8">
      <formula>$AT$90="购买传感器 Purchased"</formula>
    </cfRule>
  </conditionalFormatting>
  <conditionalFormatting sqref="AU76:AU96 F2:F8 M2:M8 Z8 AI35:AI41 AU35:AU43 K36:K62 AU48 AI49:AI52 AI55:AI64 BG76:BG80 AU100">
    <cfRule type="cellIs" dxfId="5" priority="11" operator="equal">
      <formula>ErrorText</formula>
    </cfRule>
  </conditionalFormatting>
  <dataValidations count="10">
    <dataValidation type="list" allowBlank="1" showInputMessage="1" showErrorMessage="1" sqref="D4:E4" xr:uid="{4BD5A777-C7E1-4565-A011-A990463961E3}">
      <formula1>"Bender IR155-3203,Bender IR155-3204,Bender iso165c-1,Kclear BMU05"</formula1>
    </dataValidation>
    <dataValidation type="list" allowBlank="1" showInputMessage="1" showErrorMessage="1" sqref="J97:J99 AH37:AH41 AT46:AT48 AT40:AT41 AT81 AT85:AT89 AH51:AH52 BF78:BF80 AT43 AT99:AT100 AT93:AT94 AT96 J38:J62 V97:V99 V38:V41" xr:uid="{A8C5F5D9-4C42-4AAC-89A9-055738205C4F}">
      <formula1>"TRUE,FALSE"</formula1>
    </dataValidation>
    <dataValidation type="list" allowBlank="1" showInputMessage="1" showErrorMessage="1" sqref="AT90" xr:uid="{5D23305B-ABBD-4B82-BA7C-D599A128E8DC}">
      <formula1>"车队自制原理 Team design,购买传感器 Purchased"</formula1>
    </dataValidation>
    <dataValidation type="list" allowBlank="1" showInputMessage="1" showErrorMessage="1" sqref="AT44 AT97" xr:uid="{ED8BF3A9-A5F9-496A-91A1-B94EB8E9C0C8}">
      <formula1>FuseName</formula1>
    </dataValidation>
    <dataValidation type="list" allowBlank="1" showInputMessage="1" showErrorMessage="1" sqref="AT82" xr:uid="{BDC1FD06-A173-488E-8070-52182F487430}">
      <formula1>"辅助触点 Auxiliary Contacts, 其他测量 Others"</formula1>
    </dataValidation>
    <dataValidation type="list" allowBlank="1" showInputMessage="1" showErrorMessage="1" sqref="AT79 AT83" xr:uid="{D58E2EEB-1D74-4807-8107-8E7AFD041F24}">
      <formula1>ContactorNames</formula1>
    </dataValidation>
    <dataValidation type="list" allowBlank="1" showInputMessage="1" showErrorMessage="1" sqref="AG58:AG63" xr:uid="{46EFE212-0615-4E46-80D8-E107BE215BD8}">
      <formula1>"熄灭 OFF,常亮 ON"</formula1>
    </dataValidation>
    <dataValidation type="list" allowBlank="1" showInputMessage="1" showErrorMessage="1" sqref="AH58:AH63" xr:uid="{CB96EDAE-CF24-465C-A99A-D4871A1155BF}">
      <formula1>"熄灭 OFF, 闪烁 Flashing"</formula1>
    </dataValidation>
    <dataValidation type="list" allowBlank="1" showInputMessage="1" showErrorMessage="1" sqref="AT37" xr:uid="{7DF9E374-321F-492A-82E8-78FDBC341E7A}">
      <formula1>"车队自制原理 team made, 供应商 purchased"</formula1>
    </dataValidation>
    <dataValidation type="list" allowBlank="1" showInputMessage="1" showErrorMessage="1" sqref="AT78" xr:uid="{8BE474F6-9C1E-4BF6-904B-34B1650D579D}">
      <formula1>"辅助触点 Auxiliary Contacts, 其他测量方式 Others"</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44B2B-B14A-4DFD-AA01-6C9DF2D220D3}">
  <sheetPr codeName="Sheet9"/>
  <dimension ref="A1:X13"/>
  <sheetViews>
    <sheetView workbookViewId="0">
      <selection activeCell="E3" sqref="E3"/>
    </sheetView>
  </sheetViews>
  <sheetFormatPr defaultRowHeight="13.8" x14ac:dyDescent="0.25"/>
  <cols>
    <col min="1" max="1" width="12.44140625" customWidth="1"/>
    <col min="3" max="3" width="18.88671875" customWidth="1"/>
    <col min="4" max="4" width="15.33203125" customWidth="1"/>
    <col min="5" max="5" width="12.21875" customWidth="1"/>
    <col min="12" max="12" width="20.109375" customWidth="1"/>
    <col min="13" max="13" width="20" customWidth="1"/>
    <col min="14" max="14" width="18.21875" customWidth="1"/>
    <col min="15" max="15" width="21" customWidth="1"/>
    <col min="16" max="16" width="19.6640625" customWidth="1"/>
    <col min="17" max="17" width="15.109375" customWidth="1"/>
  </cols>
  <sheetData>
    <row r="1" spans="1:24" x14ac:dyDescent="0.25">
      <c r="A1" s="16" t="s">
        <v>380</v>
      </c>
      <c r="B1" s="49" t="str" cm="1">
        <f t="array" aca="1" ref="B1" ca="1">IF(SUM(COUNTIF(INDIRECT({"$F$2","$F$3","$F$4","$S$6"}), "="&amp;IncompleteText)), IncompleteText, IF(SUM(COUNTIF(INDIRECT({"$F$2","$F$3","$F$4","$S$6"}), "="&amp;ErrorText)), ErrorText, OKText))</f>
        <v>BLANK</v>
      </c>
    </row>
    <row r="2" spans="1:24" x14ac:dyDescent="0.25">
      <c r="A2" s="106" t="s">
        <v>381</v>
      </c>
      <c r="B2" s="106"/>
      <c r="C2" s="106"/>
      <c r="D2" s="106"/>
      <c r="E2" s="5"/>
      <c r="F2" s="49" t="str">
        <f>IF(ISBLANK(E2), IncompleteText, OKText)</f>
        <v>BLANK</v>
      </c>
      <c r="H2" s="105" t="s">
        <v>388</v>
      </c>
      <c r="I2" s="105"/>
      <c r="J2" s="105"/>
      <c r="K2" s="105"/>
      <c r="L2" s="105"/>
      <c r="M2" s="105"/>
      <c r="N2" s="105"/>
      <c r="O2" s="105"/>
      <c r="P2" s="105"/>
      <c r="Q2" s="105"/>
      <c r="R2" s="105"/>
      <c r="S2" s="96" t="str">
        <f>IF(COUNTIF(S6:S11, "="&amp;IncompleteText), IncompleteText, IF(COUNTIF(S6:S11, "="&amp;ErrorText), ErrorText, OKText))</f>
        <v>BLANK</v>
      </c>
    </row>
    <row r="3" spans="1:24" x14ac:dyDescent="0.25">
      <c r="A3" s="106" t="s">
        <v>382</v>
      </c>
      <c r="B3" s="106"/>
      <c r="C3" s="106"/>
      <c r="D3" s="109"/>
      <c r="E3" s="5"/>
      <c r="F3" s="49" t="str">
        <f>IF(ISBLANK(E3), IncompleteText, OKText)</f>
        <v>BLANK</v>
      </c>
      <c r="H3" s="17"/>
      <c r="I3" s="17"/>
      <c r="J3" s="17"/>
      <c r="K3" s="17"/>
      <c r="L3" s="17"/>
      <c r="M3" s="17"/>
      <c r="N3" s="17"/>
      <c r="O3" s="17"/>
      <c r="P3" s="17"/>
      <c r="Q3" s="17"/>
      <c r="R3" s="17"/>
      <c r="S3" s="96"/>
    </row>
    <row r="4" spans="1:24" x14ac:dyDescent="0.25">
      <c r="A4" s="105" t="s">
        <v>383</v>
      </c>
      <c r="B4" s="105"/>
      <c r="C4" s="105"/>
      <c r="D4" s="105"/>
      <c r="E4" s="105"/>
      <c r="F4" s="96" t="str">
        <f>IF(E2="数字 digital",OKText,IF(COUNTIF(F7:F13, "="&amp;IncompleteText), IncompleteText, IF(COUNTIF(F7:F13, "="&amp;ErrorText), ErrorText, OKText)))</f>
        <v>BLANK</v>
      </c>
      <c r="H4" s="156" t="s">
        <v>389</v>
      </c>
      <c r="I4" s="156"/>
      <c r="J4" s="156" t="s">
        <v>390</v>
      </c>
      <c r="K4" s="156"/>
      <c r="L4" s="156" t="s">
        <v>391</v>
      </c>
      <c r="M4" s="156" t="s">
        <v>392</v>
      </c>
      <c r="N4" s="156" t="s">
        <v>393</v>
      </c>
      <c r="O4" s="156" t="s">
        <v>394</v>
      </c>
      <c r="P4" s="156" t="s">
        <v>395</v>
      </c>
      <c r="Q4" s="156" t="s">
        <v>396</v>
      </c>
      <c r="R4" s="156" t="s">
        <v>397</v>
      </c>
      <c r="S4" s="14"/>
      <c r="T4" s="272" t="s">
        <v>398</v>
      </c>
      <c r="U4" s="272"/>
      <c r="V4" s="272"/>
      <c r="W4" s="272"/>
      <c r="X4" s="272"/>
    </row>
    <row r="5" spans="1:24" x14ac:dyDescent="0.25">
      <c r="A5" s="268" t="s">
        <v>232</v>
      </c>
      <c r="B5" s="269"/>
      <c r="C5" s="270" t="s">
        <v>38</v>
      </c>
      <c r="D5" s="271"/>
      <c r="E5" s="245"/>
      <c r="F5" s="96"/>
      <c r="H5" s="156"/>
      <c r="I5" s="156"/>
      <c r="J5" s="273"/>
      <c r="K5" s="273"/>
      <c r="L5" s="274"/>
      <c r="M5" s="274"/>
      <c r="N5" s="110"/>
      <c r="O5" s="110"/>
      <c r="P5" s="110"/>
      <c r="Q5" s="110"/>
      <c r="R5" s="110"/>
      <c r="S5" s="14"/>
      <c r="T5" s="110"/>
      <c r="U5" s="110"/>
      <c r="V5" s="110"/>
      <c r="W5" s="110"/>
      <c r="X5" s="110"/>
    </row>
    <row r="6" spans="1:24" ht="27.75" customHeight="1" x14ac:dyDescent="0.25">
      <c r="A6" s="40" t="s">
        <v>384</v>
      </c>
      <c r="B6" s="149" t="s">
        <v>385</v>
      </c>
      <c r="C6" s="149"/>
      <c r="D6" s="149" t="s">
        <v>386</v>
      </c>
      <c r="E6" s="149"/>
      <c r="F6" s="49"/>
      <c r="H6" s="272" t="s">
        <v>39</v>
      </c>
      <c r="I6" s="272"/>
      <c r="J6" s="108"/>
      <c r="K6" s="108"/>
      <c r="L6" s="5"/>
      <c r="M6" s="5"/>
      <c r="N6" s="5"/>
      <c r="O6" s="5"/>
      <c r="P6" s="5"/>
      <c r="Q6" s="5"/>
      <c r="R6" s="19"/>
      <c r="S6" s="49" t="str">
        <f>IF(COUNTBLANK(J6:L6)&gt;1, IncompleteText, OKText)</f>
        <v>BLANK</v>
      </c>
      <c r="T6" s="108"/>
      <c r="U6" s="108"/>
      <c r="V6" s="108"/>
      <c r="W6" s="108"/>
      <c r="X6" s="108"/>
    </row>
    <row r="7" spans="1:24" x14ac:dyDescent="0.25">
      <c r="A7" s="28">
        <v>0</v>
      </c>
      <c r="B7" s="95"/>
      <c r="C7" s="95"/>
      <c r="D7" s="95"/>
      <c r="E7" s="95"/>
      <c r="F7" s="49" t="str">
        <f>IF(OR(ISBLANK(B7),ISBLANK(D7)), IncompleteText, OKText)</f>
        <v>BLANK</v>
      </c>
      <c r="H7" s="108" t="str">
        <f>IF(ISBLANK(J6),"",J6)</f>
        <v/>
      </c>
      <c r="I7" s="108"/>
      <c r="J7" s="108"/>
      <c r="K7" s="108"/>
      <c r="L7" s="5"/>
      <c r="M7" s="5"/>
      <c r="N7" s="5"/>
      <c r="O7" s="5"/>
      <c r="P7" s="5"/>
      <c r="Q7" s="5"/>
      <c r="R7" s="19"/>
      <c r="S7" s="49" t="str">
        <f>IF(ISBLANK(J7), "", IF(ISBLANK(L7), IncompleteText, OKText))</f>
        <v/>
      </c>
      <c r="T7" s="108"/>
      <c r="U7" s="108"/>
      <c r="V7" s="108"/>
      <c r="W7" s="108"/>
      <c r="X7" s="108"/>
    </row>
    <row r="8" spans="1:24" x14ac:dyDescent="0.25">
      <c r="A8" s="28">
        <v>0.2</v>
      </c>
      <c r="B8" s="95"/>
      <c r="C8" s="95"/>
      <c r="D8" s="95"/>
      <c r="E8" s="95"/>
      <c r="F8" s="49" t="str">
        <f>IF(OR(ISBLANK(B8),ISBLANK(D8)),IncompleteText,IF(OR(AND(_xlfn.XOR(B8&lt;D8,B7&lt;D7),B7&lt;&gt;D7),B8=D8),ErrorText,OKText))</f>
        <v>BLANK</v>
      </c>
      <c r="H8" s="108" t="str">
        <f>IF(ISBLANK(J7),"",J7)</f>
        <v/>
      </c>
      <c r="I8" s="108"/>
      <c r="J8" s="108"/>
      <c r="K8" s="108"/>
      <c r="L8" s="5"/>
      <c r="M8" s="5"/>
      <c r="N8" s="5"/>
      <c r="O8" s="5"/>
      <c r="P8" s="5"/>
      <c r="Q8" s="5"/>
      <c r="R8" s="19"/>
      <c r="S8" s="49" t="str">
        <f>IF(ISBLANK(J8), "", IF(ISBLANK(L8), IncompleteText, OKText))</f>
        <v/>
      </c>
      <c r="T8" s="108"/>
      <c r="U8" s="108"/>
      <c r="V8" s="108"/>
      <c r="W8" s="108"/>
      <c r="X8" s="108"/>
    </row>
    <row r="9" spans="1:24" x14ac:dyDescent="0.25">
      <c r="A9" s="28">
        <v>0.4</v>
      </c>
      <c r="B9" s="95"/>
      <c r="C9" s="95"/>
      <c r="D9" s="95"/>
      <c r="E9" s="95"/>
      <c r="F9" s="49" t="str">
        <f>IF(OR(ISBLANK(B9),ISBLANK(D9)), IncompleteText, IF(OR(_xlfn.XOR(B9&lt;D9,B8&lt;D8),B9=D9), ErrorText, OKText))</f>
        <v>BLANK</v>
      </c>
      <c r="H9" s="108" t="str">
        <f>IF(ISBLANK(J8),"",J8)</f>
        <v/>
      </c>
      <c r="I9" s="108"/>
      <c r="J9" s="108"/>
      <c r="K9" s="108"/>
      <c r="L9" s="5"/>
      <c r="M9" s="5"/>
      <c r="N9" s="5"/>
      <c r="O9" s="5"/>
      <c r="P9" s="5"/>
      <c r="Q9" s="5"/>
      <c r="R9" s="19"/>
      <c r="S9" s="49" t="str">
        <f>IF(ISBLANK(J9), "", IF(ISBLANK(L9), IncompleteText, OKText))</f>
        <v/>
      </c>
      <c r="T9" s="108"/>
      <c r="U9" s="108"/>
      <c r="V9" s="108"/>
      <c r="W9" s="108"/>
      <c r="X9" s="108"/>
    </row>
    <row r="10" spans="1:24" x14ac:dyDescent="0.25">
      <c r="A10" s="28">
        <v>0.6</v>
      </c>
      <c r="B10" s="95"/>
      <c r="C10" s="95"/>
      <c r="D10" s="95"/>
      <c r="E10" s="95"/>
      <c r="F10" s="49" t="str">
        <f>IF(OR(ISBLANK(B10),ISBLANK(D10)), IncompleteText, IF(OR(_xlfn.XOR(B10&lt;D10,B9&lt;D9),B10=D10), ErrorText, OKText))</f>
        <v>BLANK</v>
      </c>
      <c r="H10" s="108" t="str">
        <f>IF(ISBLANK(J9),"",J9)</f>
        <v/>
      </c>
      <c r="I10" s="108"/>
      <c r="J10" s="108"/>
      <c r="K10" s="108"/>
      <c r="L10" s="5"/>
      <c r="M10" s="5"/>
      <c r="N10" s="5"/>
      <c r="O10" s="5"/>
      <c r="P10" s="5"/>
      <c r="Q10" s="5"/>
      <c r="R10" s="19"/>
      <c r="S10" s="49" t="str">
        <f>IF(ISBLANK(J10), "", IF(ISBLANK(L10), IncompleteText, OKText))</f>
        <v/>
      </c>
      <c r="T10" s="108"/>
      <c r="U10" s="108"/>
      <c r="V10" s="108"/>
      <c r="W10" s="108"/>
      <c r="X10" s="108"/>
    </row>
    <row r="11" spans="1:24" x14ac:dyDescent="0.25">
      <c r="A11" s="28">
        <v>0.8</v>
      </c>
      <c r="B11" s="95"/>
      <c r="C11" s="95"/>
      <c r="D11" s="95"/>
      <c r="E11" s="95"/>
      <c r="F11" s="49" t="str">
        <f>IF(OR(ISBLANK(B11),ISBLANK(D11)), IncompleteText, IF(OR(_xlfn.XOR(B11&lt;D11,B10&lt;D10),B11=D11), ErrorText, OKText))</f>
        <v>BLANK</v>
      </c>
      <c r="H11" s="108" t="str">
        <f>IF(ISBLANK(J10),"",J10)</f>
        <v/>
      </c>
      <c r="I11" s="108"/>
      <c r="J11" s="108"/>
      <c r="K11" s="108"/>
      <c r="L11" s="5"/>
      <c r="M11" s="5"/>
      <c r="N11" s="5"/>
      <c r="O11" s="5"/>
      <c r="P11" s="5"/>
      <c r="Q11" s="5"/>
      <c r="R11" s="19"/>
      <c r="S11" s="49" t="str">
        <f>IF(ISBLANK(J11), "", IF(ISBLANK(L11), IncompleteText, OKText))</f>
        <v/>
      </c>
      <c r="T11" s="108"/>
      <c r="U11" s="108"/>
      <c r="V11" s="108"/>
      <c r="W11" s="108"/>
      <c r="X11" s="108"/>
    </row>
    <row r="12" spans="1:24" x14ac:dyDescent="0.25">
      <c r="A12" s="28">
        <v>1</v>
      </c>
      <c r="B12" s="95"/>
      <c r="C12" s="95"/>
      <c r="D12" s="95"/>
      <c r="E12" s="95"/>
      <c r="F12" s="49" t="str">
        <f>IF(OR(ISBLANK(B12),ISBLANK(D12)), IncompleteText, IF(OR(_xlfn.XOR(B12&lt;D12,B11&lt;D11),B12=D12), ErrorText, OKText))</f>
        <v>BLANK</v>
      </c>
    </row>
    <row r="13" spans="1:24" x14ac:dyDescent="0.25">
      <c r="A13" s="133" t="s">
        <v>387</v>
      </c>
      <c r="B13" s="133"/>
      <c r="C13" s="133"/>
      <c r="D13" s="133"/>
      <c r="E13" s="5"/>
      <c r="F13" s="49" t="str">
        <f>IF(ISBLANK(E13),IncompleteText,IF(E13,OKText,FALSE))</f>
        <v>BLANK</v>
      </c>
    </row>
  </sheetData>
  <sheetProtection algorithmName="SHA-512" hashValue="zYwyHUZKXOTGWMVyScV/N8UJZxIaMQfVSCg8HgAvMtkm/2ZEapH9sFFO5gsPs4TD4RBLAnZu9J4TonYiratQ/g==" saltValue="9YGWa2xzdETgPpSPIIyGIQ==" spinCount="100000" sheet="1" scenarios="1" insertHyperlinks="0"/>
  <mergeCells count="51">
    <mergeCell ref="H10:I10"/>
    <mergeCell ref="J10:K10"/>
    <mergeCell ref="T10:X10"/>
    <mergeCell ref="H11:I11"/>
    <mergeCell ref="J11:K11"/>
    <mergeCell ref="T11:X11"/>
    <mergeCell ref="H8:I8"/>
    <mergeCell ref="J8:K8"/>
    <mergeCell ref="T8:X8"/>
    <mergeCell ref="H9:I9"/>
    <mergeCell ref="J9:K9"/>
    <mergeCell ref="T9:X9"/>
    <mergeCell ref="H6:I6"/>
    <mergeCell ref="J6:K6"/>
    <mergeCell ref="T6:X6"/>
    <mergeCell ref="H7:I7"/>
    <mergeCell ref="J7:K7"/>
    <mergeCell ref="T7:X7"/>
    <mergeCell ref="N4:N5"/>
    <mergeCell ref="O4:O5"/>
    <mergeCell ref="P4:P5"/>
    <mergeCell ref="Q4:Q5"/>
    <mergeCell ref="R4:R5"/>
    <mergeCell ref="T4:X5"/>
    <mergeCell ref="A2:D2"/>
    <mergeCell ref="A3:D3"/>
    <mergeCell ref="A13:D13"/>
    <mergeCell ref="H2:R2"/>
    <mergeCell ref="S2:S3"/>
    <mergeCell ref="H4:I5"/>
    <mergeCell ref="J4:K5"/>
    <mergeCell ref="L4:L5"/>
    <mergeCell ref="M4:M5"/>
    <mergeCell ref="B10:C10"/>
    <mergeCell ref="D10:E10"/>
    <mergeCell ref="B11:C11"/>
    <mergeCell ref="D11:E11"/>
    <mergeCell ref="B12:C12"/>
    <mergeCell ref="D12:E12"/>
    <mergeCell ref="B7:C7"/>
    <mergeCell ref="D7:E7"/>
    <mergeCell ref="B8:C8"/>
    <mergeCell ref="D8:E8"/>
    <mergeCell ref="B9:C9"/>
    <mergeCell ref="D9:E9"/>
    <mergeCell ref="A4:E4"/>
    <mergeCell ref="F4:F5"/>
    <mergeCell ref="A5:B5"/>
    <mergeCell ref="C5:E5"/>
    <mergeCell ref="B6:C6"/>
    <mergeCell ref="D6:E6"/>
  </mergeCells>
  <phoneticPr fontId="12" type="noConversion"/>
  <conditionalFormatting sqref="A4:F13">
    <cfRule type="expression" dxfId="4" priority="1">
      <formula>$E$2="数字 digital"</formula>
    </cfRule>
  </conditionalFormatting>
  <dataValidations count="5">
    <dataValidation type="list" allowBlank="1" showInputMessage="1" showErrorMessage="1" sqref="L6:L11" xr:uid="{C58EED01-F3C6-4403-A890-C359AF0601D1}">
      <formula1>"模拟,数字"</formula1>
    </dataValidation>
    <dataValidation type="list" allowBlank="1" showInputMessage="1" showErrorMessage="1" sqref="E13" xr:uid="{51340835-F41F-4F48-A170-72668DCEADC4}">
      <formula1>"TRUE,FALSE"</formula1>
    </dataValidation>
    <dataValidation type="list" allowBlank="1" showInputMessage="1" showErrorMessage="1" sqref="H7:I11 J6:K11" xr:uid="{A12C435C-57D4-4C3F-9F3A-F6412E23782A}">
      <formula1>"整车控制器节点(VCU),电机控制器(MCU)"</formula1>
    </dataValidation>
    <dataValidation type="list" allowBlank="1" showInputMessage="1" showErrorMessage="1" sqref="M6:R11" xr:uid="{615EC8C7-D7C5-4EC9-B590-D1B70F2664D7}">
      <formula1>"TRUR,FALSE"</formula1>
    </dataValidation>
    <dataValidation type="list" allowBlank="1" showInputMessage="1" showErrorMessage="1" sqref="E2" xr:uid="{A1C2D2A4-AC9F-4D63-8A83-BEF54152B1D8}">
      <formula1>"模拟 analog,数字 digital"</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77FC9-49D9-497C-9A3C-33FD39002C4B}">
  <sheetPr codeName="Sheet10"/>
  <dimension ref="A1:AI58"/>
  <sheetViews>
    <sheetView zoomScale="85" zoomScaleNormal="85" workbookViewId="0">
      <selection activeCell="Y39" sqref="Y39"/>
    </sheetView>
  </sheetViews>
  <sheetFormatPr defaultRowHeight="13.8" x14ac:dyDescent="0.25"/>
  <cols>
    <col min="1" max="1" width="12" customWidth="1"/>
    <col min="25" max="25" width="29.33203125" customWidth="1"/>
    <col min="34" max="34" width="19.6640625" customWidth="1"/>
  </cols>
  <sheetData>
    <row r="1" spans="1:35" x14ac:dyDescent="0.25">
      <c r="A1" s="18" t="s">
        <v>72</v>
      </c>
      <c r="B1" s="49" t="str" cm="1">
        <f t="array" aca="1" ref="B1" ca="1">IF(SUM(COUNTIF(INDIRECT({"$F$2","$L$2","$H$28","$Q$28","$Z$8"}), "="&amp;IncompleteText)), IncompleteText, IF(SUM(COUNTIF(INDIRECT({"$F$2","$L$2","$H$28","$Q$28","$Z$8"}), "="&amp;ErrorText)), ErrorText, OKText))</f>
        <v>BLANK</v>
      </c>
      <c r="C1" s="2"/>
      <c r="D1" s="2"/>
      <c r="E1" s="2"/>
      <c r="F1" s="2"/>
      <c r="G1" s="2"/>
      <c r="H1" s="2"/>
      <c r="I1" s="2"/>
      <c r="J1" s="2"/>
      <c r="K1" s="2"/>
      <c r="L1" s="2"/>
    </row>
    <row r="2" spans="1:35" x14ac:dyDescent="0.25">
      <c r="A2" s="105" t="s">
        <v>399</v>
      </c>
      <c r="B2" s="105"/>
      <c r="C2" s="105"/>
      <c r="D2" s="105"/>
      <c r="E2" s="105"/>
      <c r="F2" s="49" t="str">
        <f>IF(COUNTIF(F3:F7, "="&amp;IncompleteText), IncompleteText, IF(COUNTIF(F3:F7, "="&amp;ErrorText), ErrorText, OKText))</f>
        <v>BLANK</v>
      </c>
      <c r="G2" s="105" t="s">
        <v>145</v>
      </c>
      <c r="H2" s="105"/>
      <c r="I2" s="105"/>
      <c r="J2" s="105"/>
      <c r="K2" s="105"/>
      <c r="L2" s="49" t="str">
        <f>IF(COUNTIF(L3:L5, "="&amp;IncompleteText), IncompleteText, IF(COUNTIF(L3:L5, "="&amp;ErrorText), ErrorText, OKText))</f>
        <v>BLANK</v>
      </c>
    </row>
    <row r="3" spans="1:35" x14ac:dyDescent="0.25">
      <c r="A3" s="106" t="s">
        <v>74</v>
      </c>
      <c r="B3" s="106"/>
      <c r="C3" s="109"/>
      <c r="D3" s="137"/>
      <c r="E3" s="138"/>
      <c r="F3" s="49" t="str">
        <f>IF(ISBLANK(D3), IncompleteText, OKText)</f>
        <v>BLANK</v>
      </c>
      <c r="G3" s="133" t="s">
        <v>74</v>
      </c>
      <c r="H3" s="133"/>
      <c r="I3" s="134"/>
      <c r="J3" s="137"/>
      <c r="K3" s="138"/>
      <c r="L3" s="49" t="str">
        <f>IF(ISBLANK(J3), IncompleteText, OKText)</f>
        <v>BLANK</v>
      </c>
    </row>
    <row r="4" spans="1:35" x14ac:dyDescent="0.25">
      <c r="A4" s="106" t="s">
        <v>173</v>
      </c>
      <c r="B4" s="106"/>
      <c r="C4" s="106"/>
      <c r="D4" s="108"/>
      <c r="E4" s="108"/>
      <c r="F4" s="49" t="str">
        <f>IF(ISBLANK(D4), IncompleteText, OKText)</f>
        <v>BLANK</v>
      </c>
      <c r="G4" s="133" t="s">
        <v>173</v>
      </c>
      <c r="H4" s="133"/>
      <c r="I4" s="133"/>
      <c r="J4" s="108"/>
      <c r="K4" s="108"/>
      <c r="L4" s="49" t="str">
        <f>IF(ISBLANK(J4), IncompleteText, OKText)</f>
        <v>BLANK</v>
      </c>
    </row>
    <row r="5" spans="1:35" x14ac:dyDescent="0.25">
      <c r="A5" s="106" t="s">
        <v>400</v>
      </c>
      <c r="B5" s="106"/>
      <c r="C5" s="109"/>
      <c r="D5" s="108"/>
      <c r="E5" s="108"/>
      <c r="F5" s="49" t="str">
        <f>IF(ISBLANK(D5), IncompleteText, OKText)</f>
        <v>BLANK</v>
      </c>
      <c r="G5" s="279" t="s">
        <v>402</v>
      </c>
      <c r="H5" s="279"/>
      <c r="I5" s="280"/>
      <c r="J5" s="108"/>
      <c r="K5" s="108"/>
      <c r="L5" s="49" t="str">
        <f>IF(ISBLANK(J5), IncompleteText, OKText)</f>
        <v>BLANK</v>
      </c>
    </row>
    <row r="6" spans="1:35" x14ac:dyDescent="0.25">
      <c r="A6" s="155" t="s">
        <v>401</v>
      </c>
      <c r="B6" s="155"/>
      <c r="C6" s="155"/>
      <c r="D6" s="275"/>
      <c r="E6" s="276" t="s">
        <v>0</v>
      </c>
      <c r="F6" s="278" t="str">
        <f>IF(ISBLANK(D6),IncompleteText,IF(D6&lt;MaxTSVoltage,ErrorText,OKText))</f>
        <v>BLANK</v>
      </c>
      <c r="G6" t="s">
        <v>405</v>
      </c>
    </row>
    <row r="7" spans="1:35" x14ac:dyDescent="0.25">
      <c r="A7" s="155"/>
      <c r="B7" s="155"/>
      <c r="C7" s="155"/>
      <c r="D7" s="246"/>
      <c r="E7" s="277"/>
      <c r="F7" s="278"/>
    </row>
    <row r="8" spans="1:35" x14ac:dyDescent="0.25">
      <c r="S8" s="105" t="s">
        <v>408</v>
      </c>
      <c r="T8" s="105"/>
      <c r="U8" s="105"/>
      <c r="V8" s="105"/>
      <c r="W8" s="105"/>
      <c r="X8" s="105"/>
      <c r="Y8" s="105"/>
      <c r="Z8" s="1" t="str">
        <f ca="1">IF(SUM(COUNTIF(INDIRECT({"$Z$28","$Z$30","$AI$28"}), "="&amp;IncompleteText)), IncompleteText, IF(SUM(COUNTIF(INDIRECT({"$Z$28","$Z$30","$AI$28"}), "="&amp;ErrorText)), ErrorText, OKText))</f>
        <v>BLANK</v>
      </c>
    </row>
    <row r="9" spans="1:35" ht="13.95" customHeight="1" x14ac:dyDescent="0.25">
      <c r="A9" s="127" t="s">
        <v>403</v>
      </c>
      <c r="B9" s="127"/>
      <c r="C9" s="127"/>
      <c r="D9" s="127"/>
      <c r="E9" s="127"/>
      <c r="F9" s="127"/>
      <c r="G9" s="127"/>
      <c r="H9" s="127"/>
      <c r="J9" s="127" t="s">
        <v>407</v>
      </c>
      <c r="K9" s="127"/>
      <c r="L9" s="127"/>
      <c r="M9" s="127"/>
      <c r="N9" s="127"/>
      <c r="O9" s="127"/>
      <c r="P9" s="127"/>
      <c r="Q9" s="127"/>
      <c r="S9" s="127" t="s">
        <v>409</v>
      </c>
      <c r="T9" s="127"/>
      <c r="U9" s="127"/>
      <c r="V9" s="127"/>
      <c r="W9" s="127"/>
      <c r="X9" s="127"/>
      <c r="Y9" s="127"/>
      <c r="Z9" s="127"/>
      <c r="AB9" s="237" t="s">
        <v>515</v>
      </c>
      <c r="AC9" s="237"/>
      <c r="AD9" s="237"/>
      <c r="AE9" s="237"/>
      <c r="AF9" s="237"/>
      <c r="AG9" s="237"/>
      <c r="AH9" s="237"/>
      <c r="AI9" s="237"/>
    </row>
    <row r="10" spans="1:35" x14ac:dyDescent="0.25">
      <c r="A10" s="127"/>
      <c r="B10" s="127"/>
      <c r="C10" s="127"/>
      <c r="D10" s="127"/>
      <c r="E10" s="127"/>
      <c r="F10" s="127"/>
      <c r="G10" s="127"/>
      <c r="H10" s="127"/>
      <c r="J10" s="127"/>
      <c r="K10" s="127"/>
      <c r="L10" s="127"/>
      <c r="M10" s="127"/>
      <c r="N10" s="127"/>
      <c r="O10" s="127"/>
      <c r="P10" s="127"/>
      <c r="Q10" s="127"/>
      <c r="S10" s="127"/>
      <c r="T10" s="127"/>
      <c r="U10" s="127"/>
      <c r="V10" s="127"/>
      <c r="W10" s="127"/>
      <c r="X10" s="127"/>
      <c r="Y10" s="127"/>
      <c r="Z10" s="127"/>
      <c r="AB10" s="237"/>
      <c r="AC10" s="237"/>
      <c r="AD10" s="237"/>
      <c r="AE10" s="237"/>
      <c r="AF10" s="237"/>
      <c r="AG10" s="237"/>
      <c r="AH10" s="237"/>
      <c r="AI10" s="237"/>
    </row>
    <row r="11" spans="1:35" x14ac:dyDescent="0.25">
      <c r="A11" s="127"/>
      <c r="B11" s="127"/>
      <c r="C11" s="127"/>
      <c r="D11" s="127"/>
      <c r="E11" s="127"/>
      <c r="F11" s="127"/>
      <c r="G11" s="127"/>
      <c r="H11" s="127"/>
      <c r="J11" s="127"/>
      <c r="K11" s="127"/>
      <c r="L11" s="127"/>
      <c r="M11" s="127"/>
      <c r="N11" s="127"/>
      <c r="O11" s="127"/>
      <c r="P11" s="127"/>
      <c r="Q11" s="127"/>
      <c r="S11" s="127"/>
      <c r="T11" s="127"/>
      <c r="U11" s="127"/>
      <c r="V11" s="127"/>
      <c r="W11" s="127"/>
      <c r="X11" s="127"/>
      <c r="Y11" s="127"/>
      <c r="Z11" s="127"/>
      <c r="AB11" s="237"/>
      <c r="AC11" s="237"/>
      <c r="AD11" s="237"/>
      <c r="AE11" s="237"/>
      <c r="AF11" s="237"/>
      <c r="AG11" s="237"/>
      <c r="AH11" s="237"/>
      <c r="AI11" s="237"/>
    </row>
    <row r="12" spans="1:35" x14ac:dyDescent="0.25">
      <c r="A12" s="127"/>
      <c r="B12" s="127"/>
      <c r="C12" s="127"/>
      <c r="D12" s="127"/>
      <c r="E12" s="127"/>
      <c r="F12" s="127"/>
      <c r="G12" s="127"/>
      <c r="H12" s="127"/>
      <c r="J12" s="127"/>
      <c r="K12" s="127"/>
      <c r="L12" s="127"/>
      <c r="M12" s="127"/>
      <c r="N12" s="127"/>
      <c r="O12" s="127"/>
      <c r="P12" s="127"/>
      <c r="Q12" s="127"/>
      <c r="S12" s="127"/>
      <c r="T12" s="127"/>
      <c r="U12" s="127"/>
      <c r="V12" s="127"/>
      <c r="W12" s="127"/>
      <c r="X12" s="127"/>
      <c r="Y12" s="127"/>
      <c r="Z12" s="127"/>
      <c r="AB12" s="237"/>
      <c r="AC12" s="237"/>
      <c r="AD12" s="237"/>
      <c r="AE12" s="237"/>
      <c r="AF12" s="237"/>
      <c r="AG12" s="237"/>
      <c r="AH12" s="237"/>
      <c r="AI12" s="237"/>
    </row>
    <row r="13" spans="1:35" x14ac:dyDescent="0.25">
      <c r="A13" s="127"/>
      <c r="B13" s="127"/>
      <c r="C13" s="127"/>
      <c r="D13" s="127"/>
      <c r="E13" s="127"/>
      <c r="F13" s="127"/>
      <c r="G13" s="127"/>
      <c r="H13" s="127"/>
      <c r="J13" s="127"/>
      <c r="K13" s="127"/>
      <c r="L13" s="127"/>
      <c r="M13" s="127"/>
      <c r="N13" s="127"/>
      <c r="O13" s="127"/>
      <c r="P13" s="127"/>
      <c r="Q13" s="127"/>
      <c r="S13" s="127"/>
      <c r="T13" s="127"/>
      <c r="U13" s="127"/>
      <c r="V13" s="127"/>
      <c r="W13" s="127"/>
      <c r="X13" s="127"/>
      <c r="Y13" s="127"/>
      <c r="Z13" s="127"/>
      <c r="AB13" s="237"/>
      <c r="AC13" s="237"/>
      <c r="AD13" s="237"/>
      <c r="AE13" s="237"/>
      <c r="AF13" s="237"/>
      <c r="AG13" s="237"/>
      <c r="AH13" s="237"/>
      <c r="AI13" s="237"/>
    </row>
    <row r="14" spans="1:35" x14ac:dyDescent="0.25">
      <c r="A14" s="127"/>
      <c r="B14" s="127"/>
      <c r="C14" s="127"/>
      <c r="D14" s="127"/>
      <c r="E14" s="127"/>
      <c r="F14" s="127"/>
      <c r="G14" s="127"/>
      <c r="H14" s="127"/>
      <c r="J14" s="127"/>
      <c r="K14" s="127"/>
      <c r="L14" s="127"/>
      <c r="M14" s="127"/>
      <c r="N14" s="127"/>
      <c r="O14" s="127"/>
      <c r="P14" s="127"/>
      <c r="Q14" s="127"/>
      <c r="S14" s="127"/>
      <c r="T14" s="127"/>
      <c r="U14" s="127"/>
      <c r="V14" s="127"/>
      <c r="W14" s="127"/>
      <c r="X14" s="127"/>
      <c r="Y14" s="127"/>
      <c r="Z14" s="127"/>
      <c r="AB14" s="237"/>
      <c r="AC14" s="237"/>
      <c r="AD14" s="237"/>
      <c r="AE14" s="237"/>
      <c r="AF14" s="237"/>
      <c r="AG14" s="237"/>
      <c r="AH14" s="237"/>
      <c r="AI14" s="237"/>
    </row>
    <row r="15" spans="1:35" x14ac:dyDescent="0.25">
      <c r="A15" s="127"/>
      <c r="B15" s="127"/>
      <c r="C15" s="127"/>
      <c r="D15" s="127"/>
      <c r="E15" s="127"/>
      <c r="F15" s="127"/>
      <c r="G15" s="127"/>
      <c r="H15" s="127"/>
      <c r="J15" s="127"/>
      <c r="K15" s="127"/>
      <c r="L15" s="127"/>
      <c r="M15" s="127"/>
      <c r="N15" s="127"/>
      <c r="O15" s="127"/>
      <c r="P15" s="127"/>
      <c r="Q15" s="127"/>
      <c r="S15" s="127"/>
      <c r="T15" s="127"/>
      <c r="U15" s="127"/>
      <c r="V15" s="127"/>
      <c r="W15" s="127"/>
      <c r="X15" s="127"/>
      <c r="Y15" s="127"/>
      <c r="Z15" s="127"/>
      <c r="AB15" s="237"/>
      <c r="AC15" s="237"/>
      <c r="AD15" s="237"/>
      <c r="AE15" s="237"/>
      <c r="AF15" s="237"/>
      <c r="AG15" s="237"/>
      <c r="AH15" s="237"/>
      <c r="AI15" s="237"/>
    </row>
    <row r="16" spans="1:35" x14ac:dyDescent="0.25">
      <c r="A16" s="127"/>
      <c r="B16" s="127"/>
      <c r="C16" s="127"/>
      <c r="D16" s="127"/>
      <c r="E16" s="127"/>
      <c r="F16" s="127"/>
      <c r="G16" s="127"/>
      <c r="H16" s="127"/>
      <c r="J16" s="127"/>
      <c r="K16" s="127"/>
      <c r="L16" s="127"/>
      <c r="M16" s="127"/>
      <c r="N16" s="127"/>
      <c r="O16" s="127"/>
      <c r="P16" s="127"/>
      <c r="Q16" s="127"/>
      <c r="S16" s="127"/>
      <c r="T16" s="127"/>
      <c r="U16" s="127"/>
      <c r="V16" s="127"/>
      <c r="W16" s="127"/>
      <c r="X16" s="127"/>
      <c r="Y16" s="127"/>
      <c r="Z16" s="127"/>
      <c r="AB16" s="237"/>
      <c r="AC16" s="237"/>
      <c r="AD16" s="237"/>
      <c r="AE16" s="237"/>
      <c r="AF16" s="237"/>
      <c r="AG16" s="237"/>
      <c r="AH16" s="237"/>
      <c r="AI16" s="237"/>
    </row>
    <row r="17" spans="1:35" x14ac:dyDescent="0.25">
      <c r="A17" s="127"/>
      <c r="B17" s="127"/>
      <c r="C17" s="127"/>
      <c r="D17" s="127"/>
      <c r="E17" s="127"/>
      <c r="F17" s="127"/>
      <c r="G17" s="127"/>
      <c r="H17" s="127"/>
      <c r="J17" s="127"/>
      <c r="K17" s="127"/>
      <c r="L17" s="127"/>
      <c r="M17" s="127"/>
      <c r="N17" s="127"/>
      <c r="O17" s="127"/>
      <c r="P17" s="127"/>
      <c r="Q17" s="127"/>
      <c r="S17" s="127"/>
      <c r="T17" s="127"/>
      <c r="U17" s="127"/>
      <c r="V17" s="127"/>
      <c r="W17" s="127"/>
      <c r="X17" s="127"/>
      <c r="Y17" s="127"/>
      <c r="Z17" s="127"/>
      <c r="AB17" s="237"/>
      <c r="AC17" s="237"/>
      <c r="AD17" s="237"/>
      <c r="AE17" s="237"/>
      <c r="AF17" s="237"/>
      <c r="AG17" s="237"/>
      <c r="AH17" s="237"/>
      <c r="AI17" s="237"/>
    </row>
    <row r="18" spans="1:35" x14ac:dyDescent="0.25">
      <c r="A18" s="127"/>
      <c r="B18" s="127"/>
      <c r="C18" s="127"/>
      <c r="D18" s="127"/>
      <c r="E18" s="127"/>
      <c r="F18" s="127"/>
      <c r="G18" s="127"/>
      <c r="H18" s="127"/>
      <c r="J18" s="127"/>
      <c r="K18" s="127"/>
      <c r="L18" s="127"/>
      <c r="M18" s="127"/>
      <c r="N18" s="127"/>
      <c r="O18" s="127"/>
      <c r="P18" s="127"/>
      <c r="Q18" s="127"/>
      <c r="S18" s="127"/>
      <c r="T18" s="127"/>
      <c r="U18" s="127"/>
      <c r="V18" s="127"/>
      <c r="W18" s="127"/>
      <c r="X18" s="127"/>
      <c r="Y18" s="127"/>
      <c r="Z18" s="127"/>
      <c r="AB18" s="237"/>
      <c r="AC18" s="237"/>
      <c r="AD18" s="237"/>
      <c r="AE18" s="237"/>
      <c r="AF18" s="237"/>
      <c r="AG18" s="237"/>
      <c r="AH18" s="237"/>
      <c r="AI18" s="237"/>
    </row>
    <row r="19" spans="1:35" x14ac:dyDescent="0.25">
      <c r="A19" s="127"/>
      <c r="B19" s="127"/>
      <c r="C19" s="127"/>
      <c r="D19" s="127"/>
      <c r="E19" s="127"/>
      <c r="F19" s="127"/>
      <c r="G19" s="127"/>
      <c r="H19" s="127"/>
      <c r="J19" s="127"/>
      <c r="K19" s="127"/>
      <c r="L19" s="127"/>
      <c r="M19" s="127"/>
      <c r="N19" s="127"/>
      <c r="O19" s="127"/>
      <c r="P19" s="127"/>
      <c r="Q19" s="127"/>
      <c r="S19" s="127"/>
      <c r="T19" s="127"/>
      <c r="U19" s="127"/>
      <c r="V19" s="127"/>
      <c r="W19" s="127"/>
      <c r="X19" s="127"/>
      <c r="Y19" s="127"/>
      <c r="Z19" s="127"/>
      <c r="AB19" s="237"/>
      <c r="AC19" s="237"/>
      <c r="AD19" s="237"/>
      <c r="AE19" s="237"/>
      <c r="AF19" s="237"/>
      <c r="AG19" s="237"/>
      <c r="AH19" s="237"/>
      <c r="AI19" s="237"/>
    </row>
    <row r="20" spans="1:35" x14ac:dyDescent="0.25">
      <c r="A20" s="127"/>
      <c r="B20" s="127"/>
      <c r="C20" s="127"/>
      <c r="D20" s="127"/>
      <c r="E20" s="127"/>
      <c r="F20" s="127"/>
      <c r="G20" s="127"/>
      <c r="H20" s="127"/>
      <c r="J20" s="127"/>
      <c r="K20" s="127"/>
      <c r="L20" s="127"/>
      <c r="M20" s="127"/>
      <c r="N20" s="127"/>
      <c r="O20" s="127"/>
      <c r="P20" s="127"/>
      <c r="Q20" s="127"/>
      <c r="S20" s="127"/>
      <c r="T20" s="127"/>
      <c r="U20" s="127"/>
      <c r="V20" s="127"/>
      <c r="W20" s="127"/>
      <c r="X20" s="127"/>
      <c r="Y20" s="127"/>
      <c r="Z20" s="127"/>
      <c r="AB20" s="237"/>
      <c r="AC20" s="237"/>
      <c r="AD20" s="237"/>
      <c r="AE20" s="237"/>
      <c r="AF20" s="237"/>
      <c r="AG20" s="237"/>
      <c r="AH20" s="237"/>
      <c r="AI20" s="237"/>
    </row>
    <row r="21" spans="1:35" x14ac:dyDescent="0.25">
      <c r="A21" s="127"/>
      <c r="B21" s="127"/>
      <c r="C21" s="127"/>
      <c r="D21" s="127"/>
      <c r="E21" s="127"/>
      <c r="F21" s="127"/>
      <c r="G21" s="127"/>
      <c r="H21" s="127"/>
      <c r="J21" s="127"/>
      <c r="K21" s="127"/>
      <c r="L21" s="127"/>
      <c r="M21" s="127"/>
      <c r="N21" s="127"/>
      <c r="O21" s="127"/>
      <c r="P21" s="127"/>
      <c r="Q21" s="127"/>
      <c r="S21" s="127"/>
      <c r="T21" s="127"/>
      <c r="U21" s="127"/>
      <c r="V21" s="127"/>
      <c r="W21" s="127"/>
      <c r="X21" s="127"/>
      <c r="Y21" s="127"/>
      <c r="Z21" s="127"/>
      <c r="AB21" s="237"/>
      <c r="AC21" s="237"/>
      <c r="AD21" s="237"/>
      <c r="AE21" s="237"/>
      <c r="AF21" s="237"/>
      <c r="AG21" s="237"/>
      <c r="AH21" s="237"/>
      <c r="AI21" s="237"/>
    </row>
    <row r="22" spans="1:35" x14ac:dyDescent="0.25">
      <c r="A22" s="127"/>
      <c r="B22" s="127"/>
      <c r="C22" s="127"/>
      <c r="D22" s="127"/>
      <c r="E22" s="127"/>
      <c r="F22" s="127"/>
      <c r="G22" s="127"/>
      <c r="H22" s="127"/>
      <c r="J22" s="127"/>
      <c r="K22" s="127"/>
      <c r="L22" s="127"/>
      <c r="M22" s="127"/>
      <c r="N22" s="127"/>
      <c r="O22" s="127"/>
      <c r="P22" s="127"/>
      <c r="Q22" s="127"/>
      <c r="S22" s="127"/>
      <c r="T22" s="127"/>
      <c r="U22" s="127"/>
      <c r="V22" s="127"/>
      <c r="W22" s="127"/>
      <c r="X22" s="127"/>
      <c r="Y22" s="127"/>
      <c r="Z22" s="127"/>
      <c r="AB22" s="237"/>
      <c r="AC22" s="237"/>
      <c r="AD22" s="237"/>
      <c r="AE22" s="237"/>
      <c r="AF22" s="237"/>
      <c r="AG22" s="237"/>
      <c r="AH22" s="237"/>
      <c r="AI22" s="237"/>
    </row>
    <row r="23" spans="1:35" x14ac:dyDescent="0.25">
      <c r="A23" s="127"/>
      <c r="B23" s="127"/>
      <c r="C23" s="127"/>
      <c r="D23" s="127"/>
      <c r="E23" s="127"/>
      <c r="F23" s="127"/>
      <c r="G23" s="127"/>
      <c r="H23" s="127"/>
      <c r="J23" s="127"/>
      <c r="K23" s="127"/>
      <c r="L23" s="127"/>
      <c r="M23" s="127"/>
      <c r="N23" s="127"/>
      <c r="O23" s="127"/>
      <c r="P23" s="127"/>
      <c r="Q23" s="127"/>
      <c r="S23" s="127"/>
      <c r="T23" s="127"/>
      <c r="U23" s="127"/>
      <c r="V23" s="127"/>
      <c r="W23" s="127"/>
      <c r="X23" s="127"/>
      <c r="Y23" s="127"/>
      <c r="Z23" s="127"/>
      <c r="AB23" s="237"/>
      <c r="AC23" s="237"/>
      <c r="AD23" s="237"/>
      <c r="AE23" s="237"/>
      <c r="AF23" s="237"/>
      <c r="AG23" s="237"/>
      <c r="AH23" s="237"/>
      <c r="AI23" s="237"/>
    </row>
    <row r="24" spans="1:35" x14ac:dyDescent="0.25">
      <c r="A24" s="127"/>
      <c r="B24" s="127"/>
      <c r="C24" s="127"/>
      <c r="D24" s="127"/>
      <c r="E24" s="127"/>
      <c r="F24" s="127"/>
      <c r="G24" s="127"/>
      <c r="H24" s="127"/>
      <c r="J24" s="127"/>
      <c r="K24" s="127"/>
      <c r="L24" s="127"/>
      <c r="M24" s="127"/>
      <c r="N24" s="127"/>
      <c r="O24" s="127"/>
      <c r="P24" s="127"/>
      <c r="Q24" s="127"/>
      <c r="S24" s="127"/>
      <c r="T24" s="127"/>
      <c r="U24" s="127"/>
      <c r="V24" s="127"/>
      <c r="W24" s="127"/>
      <c r="X24" s="127"/>
      <c r="Y24" s="127"/>
      <c r="Z24" s="127"/>
      <c r="AB24" s="237"/>
      <c r="AC24" s="237"/>
      <c r="AD24" s="237"/>
      <c r="AE24" s="237"/>
      <c r="AF24" s="237"/>
      <c r="AG24" s="237"/>
      <c r="AH24" s="237"/>
      <c r="AI24" s="237"/>
    </row>
    <row r="25" spans="1:35" x14ac:dyDescent="0.25">
      <c r="A25" s="127"/>
      <c r="B25" s="127"/>
      <c r="C25" s="127"/>
      <c r="D25" s="127"/>
      <c r="E25" s="127"/>
      <c r="F25" s="127"/>
      <c r="G25" s="127"/>
      <c r="H25" s="127"/>
      <c r="J25" s="127"/>
      <c r="K25" s="127"/>
      <c r="L25" s="127"/>
      <c r="M25" s="127"/>
      <c r="N25" s="127"/>
      <c r="O25" s="127"/>
      <c r="P25" s="127"/>
      <c r="Q25" s="127"/>
      <c r="S25" s="127"/>
      <c r="T25" s="127"/>
      <c r="U25" s="127"/>
      <c r="V25" s="127"/>
      <c r="W25" s="127"/>
      <c r="X25" s="127"/>
      <c r="Y25" s="127"/>
      <c r="Z25" s="127"/>
      <c r="AB25" s="237"/>
      <c r="AC25" s="237"/>
      <c r="AD25" s="237"/>
      <c r="AE25" s="237"/>
      <c r="AF25" s="237"/>
      <c r="AG25" s="237"/>
      <c r="AH25" s="237"/>
      <c r="AI25" s="237"/>
    </row>
    <row r="26" spans="1:35" x14ac:dyDescent="0.25">
      <c r="A26" s="127"/>
      <c r="B26" s="127"/>
      <c r="C26" s="127"/>
      <c r="D26" s="127"/>
      <c r="E26" s="127"/>
      <c r="F26" s="127"/>
      <c r="G26" s="127"/>
      <c r="H26" s="127"/>
      <c r="J26" s="127"/>
      <c r="K26" s="127"/>
      <c r="L26" s="127"/>
      <c r="M26" s="127"/>
      <c r="N26" s="127"/>
      <c r="O26" s="127"/>
      <c r="P26" s="127"/>
      <c r="Q26" s="127"/>
      <c r="S26" s="127"/>
      <c r="T26" s="127"/>
      <c r="U26" s="127"/>
      <c r="V26" s="127"/>
      <c r="W26" s="127"/>
      <c r="X26" s="127"/>
      <c r="Y26" s="127"/>
      <c r="Z26" s="127"/>
      <c r="AB26" s="237"/>
      <c r="AC26" s="237"/>
      <c r="AD26" s="237"/>
      <c r="AE26" s="237"/>
      <c r="AF26" s="237"/>
      <c r="AG26" s="237"/>
      <c r="AH26" s="237"/>
      <c r="AI26" s="237"/>
    </row>
    <row r="27" spans="1:35" x14ac:dyDescent="0.25">
      <c r="A27" s="127"/>
      <c r="B27" s="127"/>
      <c r="C27" s="127"/>
      <c r="D27" s="127"/>
      <c r="E27" s="127"/>
      <c r="F27" s="127"/>
      <c r="G27" s="127"/>
      <c r="H27" s="127"/>
      <c r="J27" s="127"/>
      <c r="K27" s="127"/>
      <c r="L27" s="127"/>
      <c r="M27" s="127"/>
      <c r="N27" s="127"/>
      <c r="O27" s="127"/>
      <c r="P27" s="127"/>
      <c r="Q27" s="127"/>
      <c r="S27" s="127"/>
      <c r="T27" s="127"/>
      <c r="U27" s="127"/>
      <c r="V27" s="127"/>
      <c r="W27" s="127"/>
      <c r="X27" s="127"/>
      <c r="Y27" s="127"/>
      <c r="Z27" s="127"/>
      <c r="AB27" s="237"/>
      <c r="AC27" s="237"/>
      <c r="AD27" s="237"/>
      <c r="AE27" s="237"/>
      <c r="AF27" s="237"/>
      <c r="AG27" s="237"/>
      <c r="AH27" s="237"/>
      <c r="AI27" s="237"/>
    </row>
    <row r="28" spans="1:35" x14ac:dyDescent="0.25">
      <c r="A28" s="105" t="s">
        <v>403</v>
      </c>
      <c r="B28" s="105"/>
      <c r="C28" s="105"/>
      <c r="D28" s="105"/>
      <c r="E28" s="105"/>
      <c r="F28" s="105"/>
      <c r="G28" s="105"/>
      <c r="H28" s="49" t="str">
        <f>IF(COUNTIF(H29, "="&amp;IncompleteText), IncompleteText, IF(COUNTIF(H29, "="&amp;ErrorText), ErrorText, OKText))</f>
        <v>BLANK</v>
      </c>
      <c r="J28" s="105" t="s">
        <v>461</v>
      </c>
      <c r="K28" s="105"/>
      <c r="L28" s="105"/>
      <c r="M28" s="105"/>
      <c r="N28" s="105"/>
      <c r="O28" s="105"/>
      <c r="P28" s="105"/>
      <c r="Q28" s="49" t="str">
        <f>IF(COUNTIF(Q29, "="&amp;IncompleteText), IncompleteText, IF(COUNTIF(Q29, "="&amp;ErrorText), ErrorText, OKText))</f>
        <v>BLANK</v>
      </c>
      <c r="S28" s="105" t="s">
        <v>409</v>
      </c>
      <c r="T28" s="105"/>
      <c r="U28" s="105"/>
      <c r="V28" s="105"/>
      <c r="W28" s="105"/>
      <c r="X28" s="105"/>
      <c r="Y28" s="105"/>
      <c r="Z28" s="49" t="str">
        <f>IF(COUNTIF(Z29, "="&amp;IncompleteText), IncompleteText, IF(COUNTIF(Z29, "="&amp;ErrorText), ErrorText, OKText))</f>
        <v>BLANK</v>
      </c>
      <c r="AB28" s="105" t="s">
        <v>40</v>
      </c>
      <c r="AC28" s="105"/>
      <c r="AD28" s="105"/>
      <c r="AE28" s="105"/>
      <c r="AF28" s="105"/>
      <c r="AG28" s="105"/>
      <c r="AH28" s="105"/>
      <c r="AI28" s="1" t="str">
        <f>IF(Y32="其他锂电池 Other Li-ion",IF(COUNTIF(AI29:AI36, "="&amp;IncompleteText), IncompleteText, IF(COUNTIF(AI29:AI36, "="&amp;ErrorText), ErrorText, OKText)),OKText)</f>
        <v>OK</v>
      </c>
    </row>
    <row r="29" spans="1:35" x14ac:dyDescent="0.25">
      <c r="A29" s="133" t="s">
        <v>404</v>
      </c>
      <c r="B29" s="133"/>
      <c r="C29" s="133"/>
      <c r="D29" s="133"/>
      <c r="E29" s="133"/>
      <c r="F29" s="134"/>
      <c r="G29" s="5"/>
      <c r="H29" s="49" t="str">
        <f>IF(ISBLANK(G29),IncompleteText, IF(G29, OKText, ErrorText))</f>
        <v>BLANK</v>
      </c>
      <c r="J29" s="133" t="s">
        <v>462</v>
      </c>
      <c r="K29" s="133"/>
      <c r="L29" s="133"/>
      <c r="M29" s="133"/>
      <c r="N29" s="133"/>
      <c r="O29" s="134"/>
      <c r="P29" s="5"/>
      <c r="Q29" s="49" t="str">
        <f>IF(ISBLANK(P29),IncompleteText, IF(P29, OKText, ErrorText))</f>
        <v>BLANK</v>
      </c>
      <c r="S29" s="133" t="s">
        <v>410</v>
      </c>
      <c r="T29" s="133"/>
      <c r="U29" s="133"/>
      <c r="V29" s="133"/>
      <c r="W29" s="133"/>
      <c r="X29" s="134"/>
      <c r="Y29" s="5"/>
      <c r="Z29" s="49" t="str">
        <f>IF(ISBLANK(Y29),IncompleteText, IF(Y29, OKText, ErrorText))</f>
        <v>BLANK</v>
      </c>
      <c r="AB29" s="106" t="s">
        <v>470</v>
      </c>
      <c r="AC29" s="106"/>
      <c r="AD29" s="106"/>
      <c r="AE29" s="106"/>
      <c r="AF29" s="106"/>
      <c r="AG29" s="106"/>
      <c r="AH29" s="5"/>
      <c r="AI29" s="1" t="str">
        <f>IF(ISBLANK(AH29),IncompleteText, OKText)</f>
        <v>BLANK</v>
      </c>
    </row>
    <row r="30" spans="1:35" x14ac:dyDescent="0.25">
      <c r="A30" s="105" t="s">
        <v>406</v>
      </c>
      <c r="B30" s="105"/>
      <c r="C30" s="105"/>
      <c r="D30" s="105"/>
      <c r="E30" s="105"/>
      <c r="F30" s="105"/>
      <c r="G30" s="105"/>
      <c r="J30" s="279" t="s">
        <v>479</v>
      </c>
      <c r="K30" s="279"/>
      <c r="L30" s="279"/>
      <c r="M30" s="279"/>
      <c r="N30" s="279"/>
      <c r="O30" s="280"/>
      <c r="P30" s="41"/>
      <c r="Q30" s="49" t="str">
        <f>IF(ISBLANK(P30),IncompleteText, IF(P30, OKText, ErrorText))</f>
        <v>BLANK</v>
      </c>
      <c r="S30" s="105" t="s">
        <v>411</v>
      </c>
      <c r="T30" s="105"/>
      <c r="U30" s="105"/>
      <c r="V30" s="105"/>
      <c r="W30" s="105"/>
      <c r="X30" s="105"/>
      <c r="Y30" s="105"/>
      <c r="Z30" s="49" t="str">
        <f>IF(COUNTIF(Z31:Z39, "="&amp;IncompleteText), IncompleteText, IF(COUNTIF(Z31:Z39, "="&amp;ErrorText), ErrorText, OKText))</f>
        <v>BLANK</v>
      </c>
      <c r="AB30" s="106" t="s">
        <v>471</v>
      </c>
      <c r="AC30" s="106"/>
      <c r="AD30" s="106"/>
      <c r="AE30" s="106"/>
      <c r="AF30" s="106"/>
      <c r="AG30" s="106"/>
      <c r="AH30" s="5"/>
      <c r="AI30" s="1" t="str">
        <f>IF(AH$29="车队自制",OKText,IF(ISBLANK(AH30),IncompleteText, OKText))</f>
        <v>BLANK</v>
      </c>
    </row>
    <row r="31" spans="1:35" ht="13.95" customHeight="1" x14ac:dyDescent="0.25">
      <c r="A31" s="193"/>
      <c r="B31" s="125"/>
      <c r="C31" s="125"/>
      <c r="D31" s="125"/>
      <c r="E31" s="125"/>
      <c r="F31" s="125"/>
      <c r="G31" s="125"/>
      <c r="J31" s="105" t="s">
        <v>406</v>
      </c>
      <c r="K31" s="105"/>
      <c r="L31" s="105"/>
      <c r="M31" s="105"/>
      <c r="N31" s="105"/>
      <c r="O31" s="105"/>
      <c r="P31" s="105"/>
      <c r="S31" s="106" t="s">
        <v>412</v>
      </c>
      <c r="T31" s="106"/>
      <c r="U31" s="106"/>
      <c r="V31" s="106"/>
      <c r="W31" s="106"/>
      <c r="X31" s="106"/>
      <c r="Y31" s="5"/>
      <c r="Z31" s="49" t="str">
        <f>IF(ISBLANK(Y31),IncompleteText, OKText)</f>
        <v>BLANK</v>
      </c>
      <c r="AB31" s="106" t="s">
        <v>472</v>
      </c>
      <c r="AC31" s="106"/>
      <c r="AD31" s="106"/>
      <c r="AE31" s="106"/>
      <c r="AF31" s="106"/>
      <c r="AG31" s="106"/>
      <c r="AH31" s="5"/>
      <c r="AI31" s="1" t="str">
        <f>IF(AH$29="车队自制",OKText,IF(ISBLANK(AH31),IncompleteText, OKText))</f>
        <v>BLANK</v>
      </c>
    </row>
    <row r="32" spans="1:35" ht="30.75" customHeight="1" x14ac:dyDescent="0.25">
      <c r="A32" s="193"/>
      <c r="B32" s="125"/>
      <c r="C32" s="125"/>
      <c r="D32" s="125"/>
      <c r="E32" s="125"/>
      <c r="F32" s="125"/>
      <c r="G32" s="125"/>
      <c r="J32" s="236"/>
      <c r="K32" s="237"/>
      <c r="L32" s="237"/>
      <c r="M32" s="237"/>
      <c r="N32" s="237"/>
      <c r="O32" s="237"/>
      <c r="P32" s="237"/>
      <c r="S32" s="106" t="s">
        <v>413</v>
      </c>
      <c r="T32" s="106"/>
      <c r="U32" s="106"/>
      <c r="V32" s="106"/>
      <c r="W32" s="106"/>
      <c r="X32" s="106"/>
      <c r="Y32" s="5"/>
      <c r="Z32" s="49" t="str">
        <f>IF(ISBLANK(Y32),IncompleteText, IF(Y32="非锂电池",IF(#REF!=OKText,OKText,IncompleteText),OKText))</f>
        <v>BLANK</v>
      </c>
      <c r="AB32" s="186" t="s">
        <v>514</v>
      </c>
      <c r="AC32" s="186"/>
      <c r="AD32" s="186"/>
      <c r="AE32" s="186"/>
      <c r="AF32" s="186"/>
      <c r="AG32" s="186"/>
      <c r="AH32" s="5"/>
      <c r="AI32" s="1" t="str">
        <f>IF(AH$29="供应商提供",OKText,IF(ISBLANK(AH32),IncompleteText,IF(AH32,OKText,ErrorText)))</f>
        <v>BLANK</v>
      </c>
    </row>
    <row r="33" spans="1:35" ht="36.75" customHeight="1" x14ac:dyDescent="0.25">
      <c r="A33" s="193"/>
      <c r="B33" s="125"/>
      <c r="C33" s="125"/>
      <c r="D33" s="125"/>
      <c r="E33" s="125"/>
      <c r="F33" s="125"/>
      <c r="G33" s="125"/>
      <c r="J33" s="236"/>
      <c r="K33" s="237"/>
      <c r="L33" s="237"/>
      <c r="M33" s="237"/>
      <c r="N33" s="237"/>
      <c r="O33" s="237"/>
      <c r="P33" s="237"/>
      <c r="S33" s="106" t="s">
        <v>414</v>
      </c>
      <c r="T33" s="106"/>
      <c r="U33" s="106"/>
      <c r="V33" s="106"/>
      <c r="W33" s="106"/>
      <c r="X33" s="106"/>
      <c r="Y33" s="5"/>
      <c r="Z33" s="49" t="str">
        <f t="shared" ref="Z33:Z38" si="0">IF(ISBLANK(Y33),IncompleteText, OKText)</f>
        <v>BLANK</v>
      </c>
      <c r="AB33" s="186" t="s">
        <v>473</v>
      </c>
      <c r="AC33" s="186"/>
      <c r="AD33" s="186"/>
      <c r="AE33" s="186"/>
      <c r="AF33" s="186"/>
      <c r="AG33" s="187"/>
      <c r="AH33" s="5"/>
      <c r="AI33" s="1" t="str">
        <f>IF(ISBLANK(AH33),IncompleteText,IF(AH33,OKText,ErrorText))</f>
        <v>BLANK</v>
      </c>
    </row>
    <row r="34" spans="1:35" x14ac:dyDescent="0.25">
      <c r="A34" s="193"/>
      <c r="B34" s="125"/>
      <c r="C34" s="125"/>
      <c r="D34" s="125"/>
      <c r="E34" s="125"/>
      <c r="F34" s="125"/>
      <c r="G34" s="125"/>
      <c r="J34" s="236"/>
      <c r="K34" s="237"/>
      <c r="L34" s="237"/>
      <c r="M34" s="237"/>
      <c r="N34" s="237"/>
      <c r="O34" s="237"/>
      <c r="P34" s="237"/>
      <c r="S34" s="106" t="s">
        <v>415</v>
      </c>
      <c r="T34" s="106"/>
      <c r="U34" s="106"/>
      <c r="V34" s="106"/>
      <c r="W34" s="106"/>
      <c r="X34" s="106"/>
      <c r="Y34" s="5"/>
      <c r="Z34" s="49" t="str">
        <f t="shared" si="0"/>
        <v>BLANK</v>
      </c>
      <c r="AB34" s="106" t="s">
        <v>474</v>
      </c>
      <c r="AC34" s="106"/>
      <c r="AD34" s="106"/>
      <c r="AE34" s="106"/>
      <c r="AF34" s="106"/>
      <c r="AG34" s="106"/>
      <c r="AH34" s="5"/>
      <c r="AI34" s="1" t="str">
        <f>IF(ISBLANK(AH34),IncompleteText,IF(AH34&gt;=30,OKText,ErrorText))</f>
        <v>BLANK</v>
      </c>
    </row>
    <row r="35" spans="1:35" x14ac:dyDescent="0.25">
      <c r="J35" s="236"/>
      <c r="K35" s="237"/>
      <c r="L35" s="237"/>
      <c r="M35" s="237"/>
      <c r="N35" s="237"/>
      <c r="O35" s="237"/>
      <c r="P35" s="237"/>
      <c r="S35" s="106" t="s">
        <v>416</v>
      </c>
      <c r="T35" s="106"/>
      <c r="U35" s="106"/>
      <c r="V35" s="106"/>
      <c r="W35" s="106"/>
      <c r="X35" s="106"/>
      <c r="Y35" s="5"/>
      <c r="Z35" s="49" t="str">
        <f t="shared" si="0"/>
        <v>BLANK</v>
      </c>
      <c r="AB35" s="106" t="s">
        <v>475</v>
      </c>
      <c r="AC35" s="106"/>
      <c r="AD35" s="106"/>
      <c r="AE35" s="106"/>
      <c r="AF35" s="106"/>
      <c r="AG35" s="106"/>
      <c r="AH35" s="5"/>
      <c r="AI35" s="1" t="str">
        <f>IF(ISBLANK(AH35),IncompleteText,IF(AH35&gt;=100,OKText,ErrorText))</f>
        <v>BLANK</v>
      </c>
    </row>
    <row r="36" spans="1:35" ht="14.25" customHeight="1" x14ac:dyDescent="0.25">
      <c r="S36" s="106" t="s">
        <v>417</v>
      </c>
      <c r="T36" s="106"/>
      <c r="U36" s="106"/>
      <c r="V36" s="106"/>
      <c r="W36" s="106"/>
      <c r="X36" s="106"/>
      <c r="Y36" s="5"/>
      <c r="Z36" s="49" t="str">
        <f t="shared" si="0"/>
        <v>BLANK</v>
      </c>
      <c r="AB36" s="106" t="s">
        <v>476</v>
      </c>
      <c r="AC36" s="106"/>
      <c r="AD36" s="106"/>
      <c r="AE36" s="106"/>
      <c r="AF36" s="106"/>
      <c r="AG36" s="106"/>
      <c r="AH36" s="5"/>
      <c r="AI36" s="1" t="str">
        <f>IF(ISBLANK(AH36),IncompleteText,IF(AH36,OKText,ErrorText))</f>
        <v>BLANK</v>
      </c>
    </row>
    <row r="37" spans="1:35" x14ac:dyDescent="0.25">
      <c r="S37" s="106" t="s">
        <v>418</v>
      </c>
      <c r="T37" s="106"/>
      <c r="U37" s="106"/>
      <c r="V37" s="106"/>
      <c r="W37" s="106"/>
      <c r="X37" s="106"/>
      <c r="Y37" s="5"/>
      <c r="Z37" s="49" t="str">
        <f t="shared" si="0"/>
        <v>BLANK</v>
      </c>
    </row>
    <row r="38" spans="1:35" x14ac:dyDescent="0.25">
      <c r="S38" s="106" t="s">
        <v>419</v>
      </c>
      <c r="T38" s="106"/>
      <c r="U38" s="106"/>
      <c r="V38" s="106"/>
      <c r="W38" s="106"/>
      <c r="X38" s="106"/>
      <c r="Y38" s="5"/>
      <c r="Z38" s="49" t="str">
        <f t="shared" si="0"/>
        <v>BLANK</v>
      </c>
    </row>
    <row r="39" spans="1:35" x14ac:dyDescent="0.25">
      <c r="A39" s="188" t="s">
        <v>230</v>
      </c>
      <c r="B39" s="188"/>
      <c r="C39" s="188"/>
      <c r="D39" s="188"/>
      <c r="E39" s="188"/>
      <c r="F39" s="188"/>
      <c r="G39" s="188"/>
      <c r="H39" s="188"/>
      <c r="S39" s="106" t="s">
        <v>420</v>
      </c>
      <c r="T39" s="106"/>
      <c r="U39" s="106"/>
      <c r="V39" s="106"/>
      <c r="W39" s="106"/>
      <c r="X39" s="106"/>
      <c r="Y39" s="73">
        <f>Y34*Y36</f>
        <v>0</v>
      </c>
      <c r="Z39" s="49" t="str">
        <f>IF(OR(ISBLANK(Y34),ISBLANK(Y36)),IncompleteText,IF(Y39&lt;=60,OKText,ErrorText))</f>
        <v>BLANK</v>
      </c>
    </row>
    <row r="40" spans="1:35" x14ac:dyDescent="0.25">
      <c r="A40" s="127"/>
      <c r="B40" s="127"/>
      <c r="C40" s="127"/>
      <c r="D40" s="127"/>
      <c r="E40" s="127"/>
      <c r="F40" s="127"/>
      <c r="G40" s="127"/>
      <c r="H40" s="127"/>
    </row>
    <row r="41" spans="1:35" x14ac:dyDescent="0.25">
      <c r="A41" s="127"/>
      <c r="B41" s="127"/>
      <c r="C41" s="127"/>
      <c r="D41" s="127"/>
      <c r="E41" s="127"/>
      <c r="F41" s="127"/>
      <c r="G41" s="127"/>
      <c r="H41" s="127"/>
    </row>
    <row r="42" spans="1:35" x14ac:dyDescent="0.25">
      <c r="A42" s="127"/>
      <c r="B42" s="127"/>
      <c r="C42" s="127"/>
      <c r="D42" s="127"/>
      <c r="E42" s="127"/>
      <c r="F42" s="127"/>
      <c r="G42" s="127"/>
      <c r="H42" s="127"/>
    </row>
    <row r="43" spans="1:35" x14ac:dyDescent="0.25">
      <c r="A43" s="127"/>
      <c r="B43" s="127"/>
      <c r="C43" s="127"/>
      <c r="D43" s="127"/>
      <c r="E43" s="127"/>
      <c r="F43" s="127"/>
      <c r="G43" s="127"/>
      <c r="H43" s="127"/>
    </row>
    <row r="44" spans="1:35" x14ac:dyDescent="0.25">
      <c r="A44" s="127"/>
      <c r="B44" s="127"/>
      <c r="C44" s="127"/>
      <c r="D44" s="127"/>
      <c r="E44" s="127"/>
      <c r="F44" s="127"/>
      <c r="G44" s="127"/>
      <c r="H44" s="127"/>
    </row>
    <row r="45" spans="1:35" x14ac:dyDescent="0.25">
      <c r="A45" s="127"/>
      <c r="B45" s="127"/>
      <c r="C45" s="127"/>
      <c r="D45" s="127"/>
      <c r="E45" s="127"/>
      <c r="F45" s="127"/>
      <c r="G45" s="127"/>
      <c r="H45" s="127"/>
    </row>
    <row r="46" spans="1:35" x14ac:dyDescent="0.25">
      <c r="A46" s="127"/>
      <c r="B46" s="127"/>
      <c r="C46" s="127"/>
      <c r="D46" s="127"/>
      <c r="E46" s="127"/>
      <c r="F46" s="127"/>
      <c r="G46" s="127"/>
      <c r="H46" s="127"/>
    </row>
    <row r="47" spans="1:35" x14ac:dyDescent="0.25">
      <c r="A47" s="127"/>
      <c r="B47" s="127"/>
      <c r="C47" s="127"/>
      <c r="D47" s="127"/>
      <c r="E47" s="127"/>
      <c r="F47" s="127"/>
      <c r="G47" s="127"/>
      <c r="H47" s="127"/>
    </row>
    <row r="48" spans="1:35" x14ac:dyDescent="0.25">
      <c r="A48" s="127"/>
      <c r="B48" s="127"/>
      <c r="C48" s="127"/>
      <c r="D48" s="127"/>
      <c r="E48" s="127"/>
      <c r="F48" s="127"/>
      <c r="G48" s="127"/>
      <c r="H48" s="127"/>
    </row>
    <row r="49" spans="1:8" x14ac:dyDescent="0.25">
      <c r="A49" s="127"/>
      <c r="B49" s="127"/>
      <c r="C49" s="127"/>
      <c r="D49" s="127"/>
      <c r="E49" s="127"/>
      <c r="F49" s="127"/>
      <c r="G49" s="127"/>
      <c r="H49" s="127"/>
    </row>
    <row r="50" spans="1:8" x14ac:dyDescent="0.25">
      <c r="A50" s="127"/>
      <c r="B50" s="127"/>
      <c r="C50" s="127"/>
      <c r="D50" s="127"/>
      <c r="E50" s="127"/>
      <c r="F50" s="127"/>
      <c r="G50" s="127"/>
      <c r="H50" s="127"/>
    </row>
    <row r="51" spans="1:8" x14ac:dyDescent="0.25">
      <c r="A51" s="127"/>
      <c r="B51" s="127"/>
      <c r="C51" s="127"/>
      <c r="D51" s="127"/>
      <c r="E51" s="127"/>
      <c r="F51" s="127"/>
      <c r="G51" s="127"/>
      <c r="H51" s="127"/>
    </row>
    <row r="52" spans="1:8" x14ac:dyDescent="0.25">
      <c r="A52" s="127"/>
      <c r="B52" s="127"/>
      <c r="C52" s="127"/>
      <c r="D52" s="127"/>
      <c r="E52" s="127"/>
      <c r="F52" s="127"/>
      <c r="G52" s="127"/>
      <c r="H52" s="127"/>
    </row>
    <row r="53" spans="1:8" x14ac:dyDescent="0.25">
      <c r="A53" s="127"/>
      <c r="B53" s="127"/>
      <c r="C53" s="127"/>
      <c r="D53" s="127"/>
      <c r="E53" s="127"/>
      <c r="F53" s="127"/>
      <c r="G53" s="127"/>
      <c r="H53" s="127"/>
    </row>
    <row r="54" spans="1:8" x14ac:dyDescent="0.25">
      <c r="A54" s="127"/>
      <c r="B54" s="127"/>
      <c r="C54" s="127"/>
      <c r="D54" s="127"/>
      <c r="E54" s="127"/>
      <c r="F54" s="127"/>
      <c r="G54" s="127"/>
      <c r="H54" s="127"/>
    </row>
    <row r="55" spans="1:8" x14ac:dyDescent="0.25">
      <c r="A55" s="127"/>
      <c r="B55" s="127"/>
      <c r="C55" s="127"/>
      <c r="D55" s="127"/>
      <c r="E55" s="127"/>
      <c r="F55" s="127"/>
      <c r="G55" s="127"/>
      <c r="H55" s="127"/>
    </row>
    <row r="56" spans="1:8" x14ac:dyDescent="0.25">
      <c r="A56" s="127"/>
      <c r="B56" s="127"/>
      <c r="C56" s="127"/>
      <c r="D56" s="127"/>
      <c r="E56" s="127"/>
      <c r="F56" s="127"/>
      <c r="G56" s="127"/>
      <c r="H56" s="127"/>
    </row>
    <row r="57" spans="1:8" x14ac:dyDescent="0.25">
      <c r="A57" s="127"/>
      <c r="B57" s="127"/>
      <c r="C57" s="127"/>
      <c r="D57" s="127"/>
      <c r="E57" s="127"/>
      <c r="F57" s="127"/>
      <c r="G57" s="127"/>
      <c r="H57" s="127"/>
    </row>
    <row r="58" spans="1:8" x14ac:dyDescent="0.25">
      <c r="A58" s="127"/>
      <c r="B58" s="127"/>
      <c r="C58" s="127"/>
      <c r="D58" s="127"/>
      <c r="E58" s="127"/>
      <c r="F58" s="127"/>
      <c r="G58" s="127"/>
      <c r="H58" s="127"/>
    </row>
  </sheetData>
  <sheetProtection algorithmName="SHA-512" hashValue="gPWA5ZkhLHcF734Kt6BDaPPw7I2jNCZBld3LF4qkATqLZLtCLDDDJX4OHGo3o18y/I/N3AldXoo5yPgP0JJSQw==" saltValue="vRu40FNz6JsKX7ek5u5vDw==" spinCount="100000" sheet="1" scenarios="1" insertHyperlinks="0"/>
  <dataConsolidate/>
  <mergeCells count="55">
    <mergeCell ref="A29:F29"/>
    <mergeCell ref="A30:G30"/>
    <mergeCell ref="A31:G34"/>
    <mergeCell ref="J29:O29"/>
    <mergeCell ref="A28:G28"/>
    <mergeCell ref="J31:P31"/>
    <mergeCell ref="J30:O30"/>
    <mergeCell ref="A4:C4"/>
    <mergeCell ref="D4:E4"/>
    <mergeCell ref="G4:I4"/>
    <mergeCell ref="J4:K4"/>
    <mergeCell ref="A5:C5"/>
    <mergeCell ref="D5:E5"/>
    <mergeCell ref="G5:I5"/>
    <mergeCell ref="J5:K5"/>
    <mergeCell ref="J9:Q27"/>
    <mergeCell ref="J28:P28"/>
    <mergeCell ref="A6:C7"/>
    <mergeCell ref="D6:D7"/>
    <mergeCell ref="E6:E7"/>
    <mergeCell ref="F6:F7"/>
    <mergeCell ref="A9:H27"/>
    <mergeCell ref="A2:E2"/>
    <mergeCell ref="G2:K2"/>
    <mergeCell ref="A3:C3"/>
    <mergeCell ref="D3:E3"/>
    <mergeCell ref="G3:I3"/>
    <mergeCell ref="J3:K3"/>
    <mergeCell ref="AB35:AG35"/>
    <mergeCell ref="S8:Y8"/>
    <mergeCell ref="S31:X31"/>
    <mergeCell ref="S32:X32"/>
    <mergeCell ref="S9:Z27"/>
    <mergeCell ref="S28:Y28"/>
    <mergeCell ref="S29:X29"/>
    <mergeCell ref="AB28:AH28"/>
    <mergeCell ref="AB32:AG32"/>
    <mergeCell ref="AB34:AG34"/>
    <mergeCell ref="AB33:AG33"/>
    <mergeCell ref="A39:H39"/>
    <mergeCell ref="A40:H58"/>
    <mergeCell ref="AB9:AI27"/>
    <mergeCell ref="AB29:AG29"/>
    <mergeCell ref="AB30:AG30"/>
    <mergeCell ref="AB31:AG31"/>
    <mergeCell ref="S37:X37"/>
    <mergeCell ref="S38:X38"/>
    <mergeCell ref="S39:X39"/>
    <mergeCell ref="AB36:AG36"/>
    <mergeCell ref="S33:X33"/>
    <mergeCell ref="S34:X34"/>
    <mergeCell ref="S35:X35"/>
    <mergeCell ref="S36:X36"/>
    <mergeCell ref="S30:Y30"/>
    <mergeCell ref="J32:P35"/>
  </mergeCells>
  <phoneticPr fontId="12" type="noConversion"/>
  <conditionalFormatting sqref="AB9">
    <cfRule type="expression" dxfId="3" priority="4">
      <formula>$AH$29="供应商提供 Suppliers"</formula>
    </cfRule>
  </conditionalFormatting>
  <conditionalFormatting sqref="AB9:AI36">
    <cfRule type="expression" dxfId="2" priority="1">
      <formula>$Y$32&lt;&gt;"其他锂电池 Other Li-ion"</formula>
    </cfRule>
  </conditionalFormatting>
  <conditionalFormatting sqref="AB30:AI31">
    <cfRule type="expression" dxfId="1" priority="5">
      <formula>$AH$29="车队自制 Team made"</formula>
    </cfRule>
  </conditionalFormatting>
  <conditionalFormatting sqref="AB32:AI32">
    <cfRule type="expression" dxfId="0" priority="2">
      <formula>$AH$29="供应商提供 Suppliers"</formula>
    </cfRule>
  </conditionalFormatting>
  <dataValidations count="4">
    <dataValidation type="list" allowBlank="1" showInputMessage="1" showErrorMessage="1" sqref="G29 Y29 AH32:AH33 AH36 P29:P30" xr:uid="{FA563B95-C59F-46A8-9F79-61DB1FDFE45D}">
      <formula1>"TRUE,FALSE"</formula1>
    </dataValidation>
    <dataValidation type="list" allowBlank="1" showInputMessage="1" showErrorMessage="1" sqref="Y31" xr:uid="{EA351586-A7C9-4348-A0D9-5C079D4C3A50}">
      <formula1>"车队自制电池组 Team made,供应商提供 Supplier"</formula1>
    </dataValidation>
    <dataValidation type="list" allowBlank="1" showInputMessage="1" showErrorMessage="1" sqref="Y32" xr:uid="{5D451B62-CFB6-442F-A88B-4E3D57DEF983}">
      <formula1>"磷酸铁锂 LiFePO4,其他锂电池 Other Li-ion,非锂电池 Not Li-ion"</formula1>
    </dataValidation>
    <dataValidation type="list" allowBlank="1" showInputMessage="1" showErrorMessage="1" sqref="AH29" xr:uid="{D2FDD2C9-6C1F-4DB7-A95F-E42558C609A9}">
      <formula1>"车队自制 Team made,供应商提供 Suppliers"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E2159-91B7-451D-B5A2-357F9FF8D71F}">
  <sheetPr codeName="Sheet11"/>
  <dimension ref="A1:O93"/>
  <sheetViews>
    <sheetView zoomScale="85" zoomScaleNormal="85" workbookViewId="0"/>
  </sheetViews>
  <sheetFormatPr defaultColWidth="8.88671875" defaultRowHeight="19.95" customHeight="1" x14ac:dyDescent="0.25"/>
  <cols>
    <col min="1" max="1" width="15.88671875" style="31" customWidth="1"/>
    <col min="2" max="2" width="26.77734375" style="31" customWidth="1"/>
    <col min="3" max="3" width="69" style="31" customWidth="1"/>
    <col min="4" max="4" width="26.44140625" style="31" customWidth="1"/>
    <col min="5" max="5" width="11.44140625" style="31" customWidth="1"/>
    <col min="6" max="6" width="12.33203125" style="31" customWidth="1"/>
    <col min="7" max="7" width="24.109375" style="31" customWidth="1"/>
    <col min="8" max="8" width="94.44140625" style="31" customWidth="1"/>
    <col min="9" max="9" width="18.88671875" style="31" customWidth="1"/>
    <col min="10" max="10" width="8.88671875" style="31"/>
    <col min="11" max="11" width="16.44140625" style="31" customWidth="1"/>
    <col min="12" max="12" width="27.88671875" style="31" customWidth="1"/>
    <col min="13" max="13" width="56" style="31" customWidth="1"/>
    <col min="14" max="14" width="21.21875" style="31" customWidth="1"/>
    <col min="15" max="15" width="18.44140625" style="31" customWidth="1"/>
    <col min="16" max="16384" width="8.88671875" style="31"/>
  </cols>
  <sheetData>
    <row r="1" spans="1:15" ht="19.95" customHeight="1" x14ac:dyDescent="0.25">
      <c r="A1" s="30" t="s">
        <v>72</v>
      </c>
      <c r="B1" s="52" t="str" cm="1">
        <f t="array" aca="1" ref="B1" ca="1">IF(SUM(COUNTIF(INDIRECT({"$E$2","$I$2","$O$2"}), "="&amp;IncompleteText)), IncompleteText, IF(SUM(COUNTIF(INDIRECT({"$E$2","$I$2","$O$2"}), "="&amp;ErrorText)), ErrorText, OKText))</f>
        <v>BLANK</v>
      </c>
    </row>
    <row r="2" spans="1:15" ht="30" customHeight="1" x14ac:dyDescent="0.25">
      <c r="A2" s="224" t="s">
        <v>428</v>
      </c>
      <c r="B2" s="224"/>
      <c r="C2" s="224"/>
      <c r="D2" s="224"/>
      <c r="E2" s="52" t="str">
        <f>IF(COUNTIF(E4:E93, "="&amp;IncompleteText), IncompleteText, IF(COUNTIF(E4:E93, "="&amp;ErrorText), ErrorText, OKText))</f>
        <v>BLANK</v>
      </c>
      <c r="G2" s="224" t="s">
        <v>440</v>
      </c>
      <c r="H2" s="224"/>
      <c r="I2" s="52" t="str">
        <f>IF(COUNTIF(I4:I93, "="&amp;IncompleteText), IncompleteText, IF(COUNTIF(I4:I93, "="&amp;ErrorText), ErrorText, OKText))</f>
        <v>BLANK</v>
      </c>
      <c r="K2" s="224" t="s">
        <v>442</v>
      </c>
      <c r="L2" s="224"/>
      <c r="M2" s="224"/>
      <c r="N2" s="224"/>
      <c r="O2" s="52" t="str">
        <f>IF(COUNTIF(O4:O93, "="&amp;IncompleteText), IncompleteText, IF(COUNTIF(O4:O93, "="&amp;ErrorText), ErrorText, OKText))</f>
        <v>BLANK</v>
      </c>
    </row>
    <row r="3" spans="1:15" ht="19.95" customHeight="1" x14ac:dyDescent="0.25">
      <c r="A3" s="44" t="s">
        <v>424</v>
      </c>
      <c r="B3" s="44" t="s">
        <v>425</v>
      </c>
      <c r="C3" s="44" t="s">
        <v>426</v>
      </c>
      <c r="D3" s="44" t="s">
        <v>427</v>
      </c>
      <c r="G3" s="44" t="s">
        <v>424</v>
      </c>
      <c r="H3" s="44" t="s">
        <v>426</v>
      </c>
      <c r="I3" s="44"/>
      <c r="K3" s="44" t="s">
        <v>424</v>
      </c>
      <c r="L3" s="44" t="s">
        <v>425</v>
      </c>
      <c r="M3" s="44" t="s">
        <v>426</v>
      </c>
      <c r="N3" s="44" t="s">
        <v>427</v>
      </c>
      <c r="O3" s="44"/>
    </row>
    <row r="4" spans="1:15" ht="19.95" customHeight="1" x14ac:dyDescent="0.25">
      <c r="A4" s="121" t="s">
        <v>429</v>
      </c>
      <c r="B4" s="131" t="s">
        <v>430</v>
      </c>
      <c r="C4" s="281" t="s">
        <v>431</v>
      </c>
      <c r="D4" s="289"/>
      <c r="E4" s="287" t="str" cm="1">
        <f t="array" ref="E4">IF(ISBLANK(D4),IncompleteText,IF(AND(C4,D4&gt;=0.1*FuseNoiCur),OKText,ErrorText))</f>
        <v>BLANK</v>
      </c>
      <c r="G4" s="281" t="s">
        <v>441</v>
      </c>
      <c r="H4" s="281" t="s">
        <v>443</v>
      </c>
      <c r="I4" s="287" t="str">
        <f>IF(ISERROR(IF(ISBLANK(G4),IncompleteText,IF(H4,OKText,IncompleteText))),IncompleteText,IF(ISBLANK(G4),IncompleteText,IF(H4,OKText,IncompleteText)))</f>
        <v>BLANK</v>
      </c>
      <c r="K4" s="289" t="s">
        <v>441</v>
      </c>
      <c r="L4" s="289"/>
      <c r="M4" s="281" t="s">
        <v>443</v>
      </c>
      <c r="N4" s="284" t="s">
        <v>432</v>
      </c>
      <c r="O4" s="287" t="str">
        <f>IF(ISERROR(IF(L4="导电",IF(ISBLANK(N4),IncompleteText,IF(AND(M4,N4&gt;=0.1*FuseNoiCur),OKText,ErrorText)),IF(M4,OKText,ErrorText))),IncompleteText,IF(L4="导电",IF(ISBLANK(N4),IncompleteText,IF(AND(M4,N4&gt;=0.1*FuseNoiCur),OKText,ErrorText)),IF(M4,OKText,ErrorText)))</f>
        <v>BLANK</v>
      </c>
    </row>
    <row r="5" spans="1:15" ht="19.95" customHeight="1" x14ac:dyDescent="0.25">
      <c r="A5" s="121"/>
      <c r="B5" s="131"/>
      <c r="C5" s="282"/>
      <c r="D5" s="290"/>
      <c r="E5" s="287"/>
      <c r="G5" s="282"/>
      <c r="H5" s="282"/>
      <c r="I5" s="287"/>
      <c r="K5" s="290"/>
      <c r="L5" s="290"/>
      <c r="M5" s="282"/>
      <c r="N5" s="285"/>
      <c r="O5" s="287"/>
    </row>
    <row r="6" spans="1:15" ht="19.95" customHeight="1" x14ac:dyDescent="0.25">
      <c r="A6" s="121"/>
      <c r="B6" s="131"/>
      <c r="C6" s="282"/>
      <c r="D6" s="290"/>
      <c r="E6" s="287"/>
      <c r="G6" s="282"/>
      <c r="H6" s="282"/>
      <c r="I6" s="287"/>
      <c r="K6" s="290"/>
      <c r="L6" s="290"/>
      <c r="M6" s="282"/>
      <c r="N6" s="285"/>
      <c r="O6" s="287"/>
    </row>
    <row r="7" spans="1:15" ht="19.95" customHeight="1" x14ac:dyDescent="0.25">
      <c r="A7" s="121"/>
      <c r="B7" s="131"/>
      <c r="C7" s="282"/>
      <c r="D7" s="290"/>
      <c r="E7" s="287"/>
      <c r="G7" s="282"/>
      <c r="H7" s="282"/>
      <c r="I7" s="287"/>
      <c r="K7" s="290"/>
      <c r="L7" s="290"/>
      <c r="M7" s="282"/>
      <c r="N7" s="285"/>
      <c r="O7" s="287"/>
    </row>
    <row r="8" spans="1:15" ht="19.95" customHeight="1" x14ac:dyDescent="0.25">
      <c r="A8" s="121"/>
      <c r="B8" s="131"/>
      <c r="C8" s="282"/>
      <c r="D8" s="290"/>
      <c r="E8" s="287"/>
      <c r="G8" s="282"/>
      <c r="H8" s="282"/>
      <c r="I8" s="287"/>
      <c r="K8" s="290"/>
      <c r="L8" s="290"/>
      <c r="M8" s="282"/>
      <c r="N8" s="285"/>
      <c r="O8" s="287"/>
    </row>
    <row r="9" spans="1:15" ht="19.95" customHeight="1" x14ac:dyDescent="0.25">
      <c r="A9" s="121"/>
      <c r="B9" s="131"/>
      <c r="C9" s="282"/>
      <c r="D9" s="290"/>
      <c r="E9" s="287"/>
      <c r="G9" s="282"/>
      <c r="H9" s="282"/>
      <c r="I9" s="287"/>
      <c r="K9" s="290"/>
      <c r="L9" s="290"/>
      <c r="M9" s="282"/>
      <c r="N9" s="285"/>
      <c r="O9" s="287"/>
    </row>
    <row r="10" spans="1:15" ht="19.95" customHeight="1" x14ac:dyDescent="0.25">
      <c r="A10" s="121"/>
      <c r="B10" s="131"/>
      <c r="C10" s="282"/>
      <c r="D10" s="290"/>
      <c r="E10" s="287"/>
      <c r="G10" s="282"/>
      <c r="H10" s="282"/>
      <c r="I10" s="287"/>
      <c r="K10" s="290"/>
      <c r="L10" s="290"/>
      <c r="M10" s="282"/>
      <c r="N10" s="285"/>
      <c r="O10" s="287"/>
    </row>
    <row r="11" spans="1:15" ht="19.95" customHeight="1" x14ac:dyDescent="0.25">
      <c r="A11" s="121"/>
      <c r="B11" s="131"/>
      <c r="C11" s="282"/>
      <c r="D11" s="290"/>
      <c r="E11" s="287"/>
      <c r="G11" s="282"/>
      <c r="H11" s="282"/>
      <c r="I11" s="287"/>
      <c r="K11" s="290"/>
      <c r="L11" s="290"/>
      <c r="M11" s="282"/>
      <c r="N11" s="285"/>
      <c r="O11" s="287"/>
    </row>
    <row r="12" spans="1:15" ht="19.95" customHeight="1" x14ac:dyDescent="0.25">
      <c r="A12" s="121"/>
      <c r="B12" s="131"/>
      <c r="C12" s="282"/>
      <c r="D12" s="290"/>
      <c r="E12" s="287"/>
      <c r="G12" s="282"/>
      <c r="H12" s="282"/>
      <c r="I12" s="287"/>
      <c r="K12" s="290"/>
      <c r="L12" s="290"/>
      <c r="M12" s="282"/>
      <c r="N12" s="285"/>
      <c r="O12" s="287"/>
    </row>
    <row r="13" spans="1:15" ht="19.95" customHeight="1" x14ac:dyDescent="0.25">
      <c r="A13" s="121"/>
      <c r="B13" s="288"/>
      <c r="C13" s="283"/>
      <c r="D13" s="291"/>
      <c r="E13" s="287"/>
      <c r="G13" s="283"/>
      <c r="H13" s="283"/>
      <c r="I13" s="287"/>
      <c r="K13" s="291"/>
      <c r="L13" s="291"/>
      <c r="M13" s="283"/>
      <c r="N13" s="286"/>
      <c r="O13" s="287"/>
    </row>
    <row r="14" spans="1:15" ht="19.95" customHeight="1" x14ac:dyDescent="0.25">
      <c r="A14" s="142" t="s">
        <v>433</v>
      </c>
      <c r="B14" s="170"/>
      <c r="C14" s="281" t="s">
        <v>431</v>
      </c>
      <c r="D14" s="284" t="s">
        <v>432</v>
      </c>
      <c r="E14" s="287" t="str">
        <f>IF(ISERROR(IF(B14="导电",IF(ISBLANK(D14),IncompleteText,IF(AND(C14,D14&gt;=0.1*FuseNoiCur),OKText,ErrorText)),IF(C14,OKText,ErrorText))),IncompleteText,IF(B14="导电",IF(ISBLANK(D14),IncompleteText,IF(AND(C14,D14&gt;=0.1*FuseNoiCur),OKText,ErrorText)),IF(C14,OKText,ErrorText)))</f>
        <v>BLANK</v>
      </c>
      <c r="G14" s="289"/>
      <c r="H14" s="281" t="s">
        <v>431</v>
      </c>
      <c r="I14" s="287" t="str">
        <f t="shared" ref="I14:I84" si="0">IF(ISBLANK(G14),"",IF(H14,OKText,IncompleteText))</f>
        <v/>
      </c>
      <c r="K14" s="289"/>
      <c r="L14" s="289"/>
      <c r="M14" s="281" t="s">
        <v>431</v>
      </c>
      <c r="N14" s="284" t="s">
        <v>432</v>
      </c>
      <c r="O14" s="287" t="str">
        <f t="shared" ref="O14:O84" si="1">IF(ISERROR(IF(L14="导电",IF(ISBLANK(N14),IncompleteText,IF(AND(M14,N14&gt;=0.1*FuseNoiCur),OKText,ErrorText)),IF(M14,OKText,ErrorText))),"",IF(L14="导电",IF(ISBLANK(N14),IncompleteText,IF(AND(M14,N14&gt;=0.1*FuseNoiCur),OKText,ErrorText)),IF(M14,OKText,ErrorText)))</f>
        <v/>
      </c>
    </row>
    <row r="15" spans="1:15" ht="19.95" customHeight="1" x14ac:dyDescent="0.25">
      <c r="A15" s="142"/>
      <c r="B15" s="173"/>
      <c r="C15" s="282"/>
      <c r="D15" s="285"/>
      <c r="E15" s="287"/>
      <c r="G15" s="290"/>
      <c r="H15" s="282"/>
      <c r="I15" s="287"/>
      <c r="K15" s="290"/>
      <c r="L15" s="290"/>
      <c r="M15" s="282"/>
      <c r="N15" s="285"/>
      <c r="O15" s="287"/>
    </row>
    <row r="16" spans="1:15" ht="19.95" customHeight="1" x14ac:dyDescent="0.25">
      <c r="A16" s="142"/>
      <c r="B16" s="173"/>
      <c r="C16" s="282"/>
      <c r="D16" s="285"/>
      <c r="E16" s="287"/>
      <c r="G16" s="290"/>
      <c r="H16" s="282"/>
      <c r="I16" s="287"/>
      <c r="K16" s="290"/>
      <c r="L16" s="290"/>
      <c r="M16" s="282"/>
      <c r="N16" s="285"/>
      <c r="O16" s="287"/>
    </row>
    <row r="17" spans="1:15" ht="19.95" customHeight="1" x14ac:dyDescent="0.25">
      <c r="A17" s="142"/>
      <c r="B17" s="173"/>
      <c r="C17" s="282"/>
      <c r="D17" s="285"/>
      <c r="E17" s="287"/>
      <c r="G17" s="290"/>
      <c r="H17" s="282"/>
      <c r="I17" s="287"/>
      <c r="K17" s="290"/>
      <c r="L17" s="290"/>
      <c r="M17" s="282"/>
      <c r="N17" s="285"/>
      <c r="O17" s="287"/>
    </row>
    <row r="18" spans="1:15" ht="19.95" customHeight="1" x14ac:dyDescent="0.25">
      <c r="A18" s="142"/>
      <c r="B18" s="173"/>
      <c r="C18" s="282"/>
      <c r="D18" s="285"/>
      <c r="E18" s="287"/>
      <c r="G18" s="290"/>
      <c r="H18" s="282"/>
      <c r="I18" s="287"/>
      <c r="K18" s="290"/>
      <c r="L18" s="290"/>
      <c r="M18" s="282"/>
      <c r="N18" s="285"/>
      <c r="O18" s="287"/>
    </row>
    <row r="19" spans="1:15" ht="19.95" customHeight="1" x14ac:dyDescent="0.25">
      <c r="A19" s="142"/>
      <c r="B19" s="173"/>
      <c r="C19" s="282"/>
      <c r="D19" s="285"/>
      <c r="E19" s="287"/>
      <c r="G19" s="290"/>
      <c r="H19" s="282"/>
      <c r="I19" s="287"/>
      <c r="K19" s="290"/>
      <c r="L19" s="290"/>
      <c r="M19" s="282"/>
      <c r="N19" s="285"/>
      <c r="O19" s="287"/>
    </row>
    <row r="20" spans="1:15" ht="19.95" customHeight="1" x14ac:dyDescent="0.25">
      <c r="A20" s="142"/>
      <c r="B20" s="173"/>
      <c r="C20" s="282"/>
      <c r="D20" s="285"/>
      <c r="E20" s="287"/>
      <c r="G20" s="290"/>
      <c r="H20" s="282"/>
      <c r="I20" s="287"/>
      <c r="K20" s="290"/>
      <c r="L20" s="290"/>
      <c r="M20" s="282"/>
      <c r="N20" s="285"/>
      <c r="O20" s="287"/>
    </row>
    <row r="21" spans="1:15" ht="19.95" customHeight="1" x14ac:dyDescent="0.25">
      <c r="A21" s="142"/>
      <c r="B21" s="173"/>
      <c r="C21" s="282"/>
      <c r="D21" s="285"/>
      <c r="E21" s="287"/>
      <c r="G21" s="290"/>
      <c r="H21" s="282"/>
      <c r="I21" s="287"/>
      <c r="K21" s="290"/>
      <c r="L21" s="290"/>
      <c r="M21" s="282"/>
      <c r="N21" s="285"/>
      <c r="O21" s="287"/>
    </row>
    <row r="22" spans="1:15" ht="19.95" customHeight="1" x14ac:dyDescent="0.25">
      <c r="A22" s="142"/>
      <c r="B22" s="173"/>
      <c r="C22" s="282"/>
      <c r="D22" s="285"/>
      <c r="E22" s="287"/>
      <c r="G22" s="290"/>
      <c r="H22" s="282"/>
      <c r="I22" s="287"/>
      <c r="K22" s="290"/>
      <c r="L22" s="290"/>
      <c r="M22" s="282"/>
      <c r="N22" s="285"/>
      <c r="O22" s="287"/>
    </row>
    <row r="23" spans="1:15" ht="19.95" customHeight="1" x14ac:dyDescent="0.25">
      <c r="A23" s="142"/>
      <c r="B23" s="173"/>
      <c r="C23" s="283"/>
      <c r="D23" s="286"/>
      <c r="E23" s="287"/>
      <c r="G23" s="291"/>
      <c r="H23" s="283"/>
      <c r="I23" s="287"/>
      <c r="K23" s="291"/>
      <c r="L23" s="291"/>
      <c r="M23" s="283"/>
      <c r="N23" s="286"/>
      <c r="O23" s="287"/>
    </row>
    <row r="24" spans="1:15" ht="19.95" customHeight="1" x14ac:dyDescent="0.25">
      <c r="A24" s="142" t="s">
        <v>434</v>
      </c>
      <c r="B24" s="131" t="s">
        <v>430</v>
      </c>
      <c r="C24" s="281" t="s">
        <v>431</v>
      </c>
      <c r="D24" s="289"/>
      <c r="E24" s="287" t="str" cm="1">
        <f t="array" ref="E24">IF(ISBLANK(D24),IncompleteText,IF(AND(C24,D24&gt;=0.1*FuseNoiCur),OKText,ErrorText))</f>
        <v>BLANK</v>
      </c>
      <c r="G24" s="289"/>
      <c r="H24" s="281" t="s">
        <v>431</v>
      </c>
      <c r="I24" s="287" t="str">
        <f>IF(ISBLANK(G24),"",IF(H24,OKText,IncompleteText))</f>
        <v/>
      </c>
      <c r="K24" s="289"/>
      <c r="L24" s="289"/>
      <c r="M24" s="281" t="s">
        <v>431</v>
      </c>
      <c r="N24" s="284" t="s">
        <v>432</v>
      </c>
      <c r="O24" s="287" t="str">
        <f t="shared" si="1"/>
        <v/>
      </c>
    </row>
    <row r="25" spans="1:15" ht="19.95" customHeight="1" x14ac:dyDescent="0.25">
      <c r="A25" s="142"/>
      <c r="B25" s="131"/>
      <c r="C25" s="282"/>
      <c r="D25" s="290"/>
      <c r="E25" s="287"/>
      <c r="G25" s="290"/>
      <c r="H25" s="282"/>
      <c r="I25" s="287"/>
      <c r="K25" s="290"/>
      <c r="L25" s="290"/>
      <c r="M25" s="282"/>
      <c r="N25" s="285"/>
      <c r="O25" s="287"/>
    </row>
    <row r="26" spans="1:15" ht="19.95" customHeight="1" x14ac:dyDescent="0.25">
      <c r="A26" s="142"/>
      <c r="B26" s="131"/>
      <c r="C26" s="282"/>
      <c r="D26" s="290"/>
      <c r="E26" s="287"/>
      <c r="G26" s="290"/>
      <c r="H26" s="282"/>
      <c r="I26" s="287"/>
      <c r="K26" s="290"/>
      <c r="L26" s="290"/>
      <c r="M26" s="282"/>
      <c r="N26" s="285"/>
      <c r="O26" s="287"/>
    </row>
    <row r="27" spans="1:15" ht="19.95" customHeight="1" x14ac:dyDescent="0.25">
      <c r="A27" s="142"/>
      <c r="B27" s="131"/>
      <c r="C27" s="282"/>
      <c r="D27" s="290"/>
      <c r="E27" s="287"/>
      <c r="G27" s="290"/>
      <c r="H27" s="282"/>
      <c r="I27" s="287"/>
      <c r="K27" s="290"/>
      <c r="L27" s="290"/>
      <c r="M27" s="282"/>
      <c r="N27" s="285"/>
      <c r="O27" s="287"/>
    </row>
    <row r="28" spans="1:15" ht="19.95" customHeight="1" x14ac:dyDescent="0.25">
      <c r="A28" s="142"/>
      <c r="B28" s="131"/>
      <c r="C28" s="282"/>
      <c r="D28" s="290"/>
      <c r="E28" s="287"/>
      <c r="G28" s="290"/>
      <c r="H28" s="282"/>
      <c r="I28" s="287"/>
      <c r="K28" s="290"/>
      <c r="L28" s="290"/>
      <c r="M28" s="282"/>
      <c r="N28" s="285"/>
      <c r="O28" s="287"/>
    </row>
    <row r="29" spans="1:15" ht="19.95" customHeight="1" x14ac:dyDescent="0.25">
      <c r="A29" s="142"/>
      <c r="B29" s="131"/>
      <c r="C29" s="282"/>
      <c r="D29" s="290"/>
      <c r="E29" s="287"/>
      <c r="G29" s="290"/>
      <c r="H29" s="282"/>
      <c r="I29" s="287"/>
      <c r="K29" s="290"/>
      <c r="L29" s="290"/>
      <c r="M29" s="282"/>
      <c r="N29" s="285"/>
      <c r="O29" s="287"/>
    </row>
    <row r="30" spans="1:15" ht="19.95" customHeight="1" x14ac:dyDescent="0.25">
      <c r="A30" s="142"/>
      <c r="B30" s="131"/>
      <c r="C30" s="282"/>
      <c r="D30" s="290"/>
      <c r="E30" s="287"/>
      <c r="G30" s="290"/>
      <c r="H30" s="282"/>
      <c r="I30" s="287"/>
      <c r="K30" s="290"/>
      <c r="L30" s="290"/>
      <c r="M30" s="282"/>
      <c r="N30" s="285"/>
      <c r="O30" s="287"/>
    </row>
    <row r="31" spans="1:15" ht="19.95" customHeight="1" x14ac:dyDescent="0.25">
      <c r="A31" s="142"/>
      <c r="B31" s="131"/>
      <c r="C31" s="282"/>
      <c r="D31" s="290"/>
      <c r="E31" s="287"/>
      <c r="G31" s="290"/>
      <c r="H31" s="282"/>
      <c r="I31" s="287"/>
      <c r="K31" s="290"/>
      <c r="L31" s="290"/>
      <c r="M31" s="282"/>
      <c r="N31" s="285"/>
      <c r="O31" s="287"/>
    </row>
    <row r="32" spans="1:15" ht="19.95" customHeight="1" x14ac:dyDescent="0.25">
      <c r="A32" s="142"/>
      <c r="B32" s="131"/>
      <c r="C32" s="282"/>
      <c r="D32" s="290"/>
      <c r="E32" s="287"/>
      <c r="G32" s="290"/>
      <c r="H32" s="282"/>
      <c r="I32" s="287"/>
      <c r="K32" s="290"/>
      <c r="L32" s="290"/>
      <c r="M32" s="282"/>
      <c r="N32" s="285"/>
      <c r="O32" s="287"/>
    </row>
    <row r="33" spans="1:15" ht="19.95" customHeight="1" x14ac:dyDescent="0.25">
      <c r="A33" s="142"/>
      <c r="B33" s="131"/>
      <c r="C33" s="283"/>
      <c r="D33" s="291"/>
      <c r="E33" s="287"/>
      <c r="G33" s="291"/>
      <c r="H33" s="283"/>
      <c r="I33" s="287"/>
      <c r="K33" s="291"/>
      <c r="L33" s="291"/>
      <c r="M33" s="283"/>
      <c r="N33" s="286"/>
      <c r="O33" s="287"/>
    </row>
    <row r="34" spans="1:15" ht="19.95" customHeight="1" x14ac:dyDescent="0.25">
      <c r="A34" s="142" t="s">
        <v>435</v>
      </c>
      <c r="B34" s="131" t="s">
        <v>430</v>
      </c>
      <c r="C34" s="281" t="s">
        <v>431</v>
      </c>
      <c r="D34" s="289"/>
      <c r="E34" s="287" t="str" cm="1">
        <f t="array" ref="E34">IF(ISBLANK(D34),IncompleteText,IF(AND(C34,D34&gt;=0.1*FuseNoiCur),OKText,ErrorText))</f>
        <v>BLANK</v>
      </c>
      <c r="G34" s="289"/>
      <c r="H34" s="281" t="s">
        <v>431</v>
      </c>
      <c r="I34" s="287" t="str">
        <f t="shared" si="0"/>
        <v/>
      </c>
      <c r="K34" s="289"/>
      <c r="L34" s="289"/>
      <c r="M34" s="281" t="s">
        <v>431</v>
      </c>
      <c r="N34" s="284" t="s">
        <v>432</v>
      </c>
      <c r="O34" s="287" t="str">
        <f t="shared" si="1"/>
        <v/>
      </c>
    </row>
    <row r="35" spans="1:15" ht="19.95" customHeight="1" x14ac:dyDescent="0.25">
      <c r="A35" s="142"/>
      <c r="B35" s="131"/>
      <c r="C35" s="282"/>
      <c r="D35" s="290"/>
      <c r="E35" s="287"/>
      <c r="G35" s="290"/>
      <c r="H35" s="282"/>
      <c r="I35" s="287"/>
      <c r="K35" s="290"/>
      <c r="L35" s="290"/>
      <c r="M35" s="282"/>
      <c r="N35" s="285"/>
      <c r="O35" s="287"/>
    </row>
    <row r="36" spans="1:15" ht="19.95" customHeight="1" x14ac:dyDescent="0.25">
      <c r="A36" s="142"/>
      <c r="B36" s="131"/>
      <c r="C36" s="282"/>
      <c r="D36" s="290"/>
      <c r="E36" s="287"/>
      <c r="G36" s="290"/>
      <c r="H36" s="282"/>
      <c r="I36" s="287"/>
      <c r="K36" s="290"/>
      <c r="L36" s="290"/>
      <c r="M36" s="282"/>
      <c r="N36" s="285"/>
      <c r="O36" s="287"/>
    </row>
    <row r="37" spans="1:15" ht="19.95" customHeight="1" x14ac:dyDescent="0.25">
      <c r="A37" s="142"/>
      <c r="B37" s="131"/>
      <c r="C37" s="282"/>
      <c r="D37" s="290"/>
      <c r="E37" s="287"/>
      <c r="G37" s="290"/>
      <c r="H37" s="282"/>
      <c r="I37" s="287"/>
      <c r="K37" s="290"/>
      <c r="L37" s="290"/>
      <c r="M37" s="282"/>
      <c r="N37" s="285"/>
      <c r="O37" s="287"/>
    </row>
    <row r="38" spans="1:15" ht="19.95" customHeight="1" x14ac:dyDescent="0.25">
      <c r="A38" s="142"/>
      <c r="B38" s="131"/>
      <c r="C38" s="282"/>
      <c r="D38" s="290"/>
      <c r="E38" s="287"/>
      <c r="G38" s="290"/>
      <c r="H38" s="282"/>
      <c r="I38" s="287"/>
      <c r="K38" s="290"/>
      <c r="L38" s="290"/>
      <c r="M38" s="282"/>
      <c r="N38" s="285"/>
      <c r="O38" s="287"/>
    </row>
    <row r="39" spans="1:15" ht="19.95" customHeight="1" x14ac:dyDescent="0.25">
      <c r="A39" s="142"/>
      <c r="B39" s="131"/>
      <c r="C39" s="282"/>
      <c r="D39" s="290"/>
      <c r="E39" s="287"/>
      <c r="G39" s="290"/>
      <c r="H39" s="282"/>
      <c r="I39" s="287"/>
      <c r="K39" s="290"/>
      <c r="L39" s="290"/>
      <c r="M39" s="282"/>
      <c r="N39" s="285"/>
      <c r="O39" s="287"/>
    </row>
    <row r="40" spans="1:15" ht="19.95" customHeight="1" x14ac:dyDescent="0.25">
      <c r="A40" s="142"/>
      <c r="B40" s="131"/>
      <c r="C40" s="282"/>
      <c r="D40" s="290"/>
      <c r="E40" s="287"/>
      <c r="G40" s="290"/>
      <c r="H40" s="282"/>
      <c r="I40" s="287"/>
      <c r="K40" s="290"/>
      <c r="L40" s="290"/>
      <c r="M40" s="282"/>
      <c r="N40" s="285"/>
      <c r="O40" s="287"/>
    </row>
    <row r="41" spans="1:15" ht="19.95" customHeight="1" x14ac:dyDescent="0.25">
      <c r="A41" s="142"/>
      <c r="B41" s="131"/>
      <c r="C41" s="282"/>
      <c r="D41" s="290"/>
      <c r="E41" s="287"/>
      <c r="G41" s="290"/>
      <c r="H41" s="282"/>
      <c r="I41" s="287"/>
      <c r="K41" s="290"/>
      <c r="L41" s="290"/>
      <c r="M41" s="282"/>
      <c r="N41" s="285"/>
      <c r="O41" s="287"/>
    </row>
    <row r="42" spans="1:15" ht="19.95" customHeight="1" x14ac:dyDescent="0.25">
      <c r="A42" s="142"/>
      <c r="B42" s="131"/>
      <c r="C42" s="282"/>
      <c r="D42" s="290"/>
      <c r="E42" s="287"/>
      <c r="G42" s="290"/>
      <c r="H42" s="282"/>
      <c r="I42" s="287"/>
      <c r="K42" s="290"/>
      <c r="L42" s="290"/>
      <c r="M42" s="282"/>
      <c r="N42" s="285"/>
      <c r="O42" s="287"/>
    </row>
    <row r="43" spans="1:15" ht="19.95" customHeight="1" x14ac:dyDescent="0.25">
      <c r="A43" s="142"/>
      <c r="B43" s="131"/>
      <c r="C43" s="283"/>
      <c r="D43" s="291"/>
      <c r="E43" s="287"/>
      <c r="G43" s="291"/>
      <c r="H43" s="283"/>
      <c r="I43" s="287"/>
      <c r="K43" s="291"/>
      <c r="L43" s="291"/>
      <c r="M43" s="283"/>
      <c r="N43" s="286"/>
      <c r="O43" s="287"/>
    </row>
    <row r="44" spans="1:15" ht="19.95" customHeight="1" x14ac:dyDescent="0.25">
      <c r="A44" s="121" t="s">
        <v>436</v>
      </c>
      <c r="B44" s="131" t="s">
        <v>430</v>
      </c>
      <c r="C44" s="281" t="s">
        <v>431</v>
      </c>
      <c r="D44" s="289"/>
      <c r="E44" s="287" t="str" cm="1">
        <f t="array" ref="E44">IF(ISBLANK(D44),IncompleteText,IF(AND(C44,D44&gt;=0.1*FuseNoiCur),OKText,ErrorText))</f>
        <v>BLANK</v>
      </c>
      <c r="G44" s="289"/>
      <c r="H44" s="281" t="s">
        <v>431</v>
      </c>
      <c r="I44" s="287" t="str">
        <f t="shared" si="0"/>
        <v/>
      </c>
      <c r="K44" s="289"/>
      <c r="L44" s="289"/>
      <c r="M44" s="281" t="s">
        <v>431</v>
      </c>
      <c r="N44" s="284" t="s">
        <v>432</v>
      </c>
      <c r="O44" s="287" t="str">
        <f t="shared" si="1"/>
        <v/>
      </c>
    </row>
    <row r="45" spans="1:15" ht="19.95" customHeight="1" x14ac:dyDescent="0.25">
      <c r="A45" s="121"/>
      <c r="B45" s="131"/>
      <c r="C45" s="282"/>
      <c r="D45" s="290"/>
      <c r="E45" s="287"/>
      <c r="G45" s="290"/>
      <c r="H45" s="282"/>
      <c r="I45" s="287"/>
      <c r="K45" s="290"/>
      <c r="L45" s="290"/>
      <c r="M45" s="282"/>
      <c r="N45" s="285"/>
      <c r="O45" s="287"/>
    </row>
    <row r="46" spans="1:15" ht="19.95" customHeight="1" x14ac:dyDescent="0.25">
      <c r="A46" s="121"/>
      <c r="B46" s="131"/>
      <c r="C46" s="282"/>
      <c r="D46" s="290"/>
      <c r="E46" s="287"/>
      <c r="G46" s="290"/>
      <c r="H46" s="282"/>
      <c r="I46" s="287"/>
      <c r="K46" s="290"/>
      <c r="L46" s="290"/>
      <c r="M46" s="282"/>
      <c r="N46" s="285"/>
      <c r="O46" s="287"/>
    </row>
    <row r="47" spans="1:15" ht="19.95" customHeight="1" x14ac:dyDescent="0.25">
      <c r="A47" s="121"/>
      <c r="B47" s="131"/>
      <c r="C47" s="282"/>
      <c r="D47" s="290"/>
      <c r="E47" s="287"/>
      <c r="G47" s="290"/>
      <c r="H47" s="282"/>
      <c r="I47" s="287"/>
      <c r="K47" s="290"/>
      <c r="L47" s="290"/>
      <c r="M47" s="282"/>
      <c r="N47" s="285"/>
      <c r="O47" s="287"/>
    </row>
    <row r="48" spans="1:15" ht="19.95" customHeight="1" x14ac:dyDescent="0.25">
      <c r="A48" s="121"/>
      <c r="B48" s="131"/>
      <c r="C48" s="282"/>
      <c r="D48" s="290"/>
      <c r="E48" s="287"/>
      <c r="G48" s="290"/>
      <c r="H48" s="282"/>
      <c r="I48" s="287"/>
      <c r="K48" s="290"/>
      <c r="L48" s="290"/>
      <c r="M48" s="282"/>
      <c r="N48" s="285"/>
      <c r="O48" s="287"/>
    </row>
    <row r="49" spans="1:15" ht="19.95" customHeight="1" x14ac:dyDescent="0.25">
      <c r="A49" s="121"/>
      <c r="B49" s="131"/>
      <c r="C49" s="282"/>
      <c r="D49" s="290"/>
      <c r="E49" s="287"/>
      <c r="G49" s="290"/>
      <c r="H49" s="282"/>
      <c r="I49" s="287"/>
      <c r="K49" s="290"/>
      <c r="L49" s="290"/>
      <c r="M49" s="282"/>
      <c r="N49" s="285"/>
      <c r="O49" s="287"/>
    </row>
    <row r="50" spans="1:15" ht="19.95" customHeight="1" x14ac:dyDescent="0.25">
      <c r="A50" s="121"/>
      <c r="B50" s="131"/>
      <c r="C50" s="282"/>
      <c r="D50" s="290"/>
      <c r="E50" s="287"/>
      <c r="G50" s="290"/>
      <c r="H50" s="282"/>
      <c r="I50" s="287"/>
      <c r="K50" s="290"/>
      <c r="L50" s="290"/>
      <c r="M50" s="282"/>
      <c r="N50" s="285"/>
      <c r="O50" s="287"/>
    </row>
    <row r="51" spans="1:15" ht="19.95" customHeight="1" x14ac:dyDescent="0.25">
      <c r="A51" s="121"/>
      <c r="B51" s="131"/>
      <c r="C51" s="282"/>
      <c r="D51" s="290"/>
      <c r="E51" s="287"/>
      <c r="G51" s="290"/>
      <c r="H51" s="282"/>
      <c r="I51" s="287"/>
      <c r="K51" s="290"/>
      <c r="L51" s="290"/>
      <c r="M51" s="282"/>
      <c r="N51" s="285"/>
      <c r="O51" s="287"/>
    </row>
    <row r="52" spans="1:15" ht="19.95" customHeight="1" x14ac:dyDescent="0.25">
      <c r="A52" s="121"/>
      <c r="B52" s="131"/>
      <c r="C52" s="282"/>
      <c r="D52" s="290"/>
      <c r="E52" s="287"/>
      <c r="G52" s="290"/>
      <c r="H52" s="282"/>
      <c r="I52" s="287"/>
      <c r="K52" s="290"/>
      <c r="L52" s="290"/>
      <c r="M52" s="282"/>
      <c r="N52" s="285"/>
      <c r="O52" s="287"/>
    </row>
    <row r="53" spans="1:15" ht="19.95" customHeight="1" x14ac:dyDescent="0.25">
      <c r="A53" s="121"/>
      <c r="B53" s="288"/>
      <c r="C53" s="283"/>
      <c r="D53" s="291"/>
      <c r="E53" s="287"/>
      <c r="G53" s="291"/>
      <c r="H53" s="283"/>
      <c r="I53" s="287"/>
      <c r="K53" s="291"/>
      <c r="L53" s="291"/>
      <c r="M53" s="283"/>
      <c r="N53" s="286"/>
      <c r="O53" s="287"/>
    </row>
    <row r="54" spans="1:15" ht="19.95" customHeight="1" x14ac:dyDescent="0.25">
      <c r="A54" s="142" t="s">
        <v>437</v>
      </c>
      <c r="B54" s="170"/>
      <c r="C54" s="281" t="s">
        <v>431</v>
      </c>
      <c r="D54" s="289"/>
      <c r="E54" s="287" t="str">
        <f>IF(ISERROR(IF(B54="导电",IF(ISBLANK(D54),IncompleteText,IF(AND(C54,D54&gt;=0.1*FuseNoiCur),OKText,ErrorText)),IF(C54,OKText,ErrorText))),IncompleteText,IF(B54="导电",IF(ISBLANK(D54),IncompleteText,IF(AND(C54,D54&gt;=0.1*FuseNoiCur),OKText,ErrorText)),IF(C54,OKText,ErrorText)))</f>
        <v>BLANK</v>
      </c>
      <c r="G54" s="289"/>
      <c r="H54" s="281" t="s">
        <v>431</v>
      </c>
      <c r="I54" s="287" t="str">
        <f>IF(ISBLANK(G54),"",IF(H54,OKText,IncompleteText))</f>
        <v/>
      </c>
      <c r="K54" s="289"/>
      <c r="L54" s="289"/>
      <c r="M54" s="281" t="s">
        <v>431</v>
      </c>
      <c r="N54" s="284" t="s">
        <v>432</v>
      </c>
      <c r="O54" s="287" t="str">
        <f t="shared" si="1"/>
        <v/>
      </c>
    </row>
    <row r="55" spans="1:15" ht="19.95" customHeight="1" x14ac:dyDescent="0.25">
      <c r="A55" s="142"/>
      <c r="B55" s="173"/>
      <c r="C55" s="282"/>
      <c r="D55" s="290"/>
      <c r="E55" s="287"/>
      <c r="G55" s="290"/>
      <c r="H55" s="282"/>
      <c r="I55" s="287"/>
      <c r="K55" s="290"/>
      <c r="L55" s="290"/>
      <c r="M55" s="282"/>
      <c r="N55" s="285"/>
      <c r="O55" s="287"/>
    </row>
    <row r="56" spans="1:15" ht="19.95" customHeight="1" x14ac:dyDescent="0.25">
      <c r="A56" s="142"/>
      <c r="B56" s="173"/>
      <c r="C56" s="282"/>
      <c r="D56" s="290"/>
      <c r="E56" s="287"/>
      <c r="G56" s="290"/>
      <c r="H56" s="282"/>
      <c r="I56" s="287"/>
      <c r="K56" s="290"/>
      <c r="L56" s="290"/>
      <c r="M56" s="282"/>
      <c r="N56" s="285"/>
      <c r="O56" s="287"/>
    </row>
    <row r="57" spans="1:15" ht="19.95" customHeight="1" x14ac:dyDescent="0.25">
      <c r="A57" s="142"/>
      <c r="B57" s="173"/>
      <c r="C57" s="282"/>
      <c r="D57" s="290"/>
      <c r="E57" s="287"/>
      <c r="G57" s="290"/>
      <c r="H57" s="282"/>
      <c r="I57" s="287"/>
      <c r="K57" s="290"/>
      <c r="L57" s="290"/>
      <c r="M57" s="282"/>
      <c r="N57" s="285"/>
      <c r="O57" s="287"/>
    </row>
    <row r="58" spans="1:15" ht="19.95" customHeight="1" x14ac:dyDescent="0.25">
      <c r="A58" s="142"/>
      <c r="B58" s="173"/>
      <c r="C58" s="282"/>
      <c r="D58" s="290"/>
      <c r="E58" s="287"/>
      <c r="G58" s="290"/>
      <c r="H58" s="282"/>
      <c r="I58" s="287"/>
      <c r="K58" s="290"/>
      <c r="L58" s="290"/>
      <c r="M58" s="282"/>
      <c r="N58" s="285"/>
      <c r="O58" s="287"/>
    </row>
    <row r="59" spans="1:15" ht="19.95" customHeight="1" x14ac:dyDescent="0.25">
      <c r="A59" s="142"/>
      <c r="B59" s="173"/>
      <c r="C59" s="282"/>
      <c r="D59" s="290"/>
      <c r="E59" s="287"/>
      <c r="G59" s="290"/>
      <c r="H59" s="282"/>
      <c r="I59" s="287"/>
      <c r="K59" s="290"/>
      <c r="L59" s="290"/>
      <c r="M59" s="282"/>
      <c r="N59" s="285"/>
      <c r="O59" s="287"/>
    </row>
    <row r="60" spans="1:15" ht="19.95" customHeight="1" x14ac:dyDescent="0.25">
      <c r="A60" s="142"/>
      <c r="B60" s="173"/>
      <c r="C60" s="282"/>
      <c r="D60" s="290"/>
      <c r="E60" s="287"/>
      <c r="G60" s="290"/>
      <c r="H60" s="282"/>
      <c r="I60" s="287"/>
      <c r="K60" s="290"/>
      <c r="L60" s="290"/>
      <c r="M60" s="282"/>
      <c r="N60" s="285"/>
      <c r="O60" s="287"/>
    </row>
    <row r="61" spans="1:15" ht="19.95" customHeight="1" x14ac:dyDescent="0.25">
      <c r="A61" s="142"/>
      <c r="B61" s="173"/>
      <c r="C61" s="282"/>
      <c r="D61" s="290"/>
      <c r="E61" s="287"/>
      <c r="G61" s="290"/>
      <c r="H61" s="282"/>
      <c r="I61" s="287"/>
      <c r="K61" s="290"/>
      <c r="L61" s="290"/>
      <c r="M61" s="282"/>
      <c r="N61" s="285"/>
      <c r="O61" s="287"/>
    </row>
    <row r="62" spans="1:15" ht="19.95" customHeight="1" x14ac:dyDescent="0.25">
      <c r="A62" s="142"/>
      <c r="B62" s="173"/>
      <c r="C62" s="282"/>
      <c r="D62" s="290"/>
      <c r="E62" s="287"/>
      <c r="G62" s="290"/>
      <c r="H62" s="282"/>
      <c r="I62" s="287"/>
      <c r="K62" s="290"/>
      <c r="L62" s="290"/>
      <c r="M62" s="282"/>
      <c r="N62" s="285"/>
      <c r="O62" s="287"/>
    </row>
    <row r="63" spans="1:15" ht="19.95" customHeight="1" x14ac:dyDescent="0.25">
      <c r="A63" s="142"/>
      <c r="B63" s="176"/>
      <c r="C63" s="283"/>
      <c r="D63" s="291"/>
      <c r="E63" s="287"/>
      <c r="G63" s="291"/>
      <c r="H63" s="283"/>
      <c r="I63" s="287"/>
      <c r="K63" s="291"/>
      <c r="L63" s="291"/>
      <c r="M63" s="283"/>
      <c r="N63" s="286"/>
      <c r="O63" s="287"/>
    </row>
    <row r="64" spans="1:15" ht="19.95" customHeight="1" x14ac:dyDescent="0.25">
      <c r="A64" s="142" t="s">
        <v>438</v>
      </c>
      <c r="B64" s="170"/>
      <c r="C64" s="281" t="s">
        <v>431</v>
      </c>
      <c r="D64" s="289"/>
      <c r="E64" s="287" t="str">
        <f>IF(ISERROR(IF(B64="导电",IF(ISBLANK(D64),IncompleteText,IF(AND(C64,D64&gt;=0.1*FuseNoiCur),OKText,ErrorText)),IF(C64,OKText,ErrorText))),IncompleteText,IF(B64="导电",IF(ISBLANK(D64),IncompleteText,IF(AND(C64,D64&gt;=0.1*FuseNoiCur),OKText,ErrorText)),IF(C64,OKText,ErrorText)))</f>
        <v>BLANK</v>
      </c>
      <c r="G64" s="289"/>
      <c r="H64" s="281" t="s">
        <v>431</v>
      </c>
      <c r="I64" s="287" t="str">
        <f t="shared" si="0"/>
        <v/>
      </c>
      <c r="K64" s="289"/>
      <c r="L64" s="289"/>
      <c r="M64" s="281" t="s">
        <v>431</v>
      </c>
      <c r="N64" s="284" t="s">
        <v>432</v>
      </c>
      <c r="O64" s="287" t="str">
        <f t="shared" si="1"/>
        <v/>
      </c>
    </row>
    <row r="65" spans="1:15" ht="19.95" customHeight="1" x14ac:dyDescent="0.25">
      <c r="A65" s="142"/>
      <c r="B65" s="173"/>
      <c r="C65" s="282"/>
      <c r="D65" s="290"/>
      <c r="E65" s="287"/>
      <c r="G65" s="290"/>
      <c r="H65" s="282"/>
      <c r="I65" s="287"/>
      <c r="K65" s="290"/>
      <c r="L65" s="290"/>
      <c r="M65" s="282"/>
      <c r="N65" s="285"/>
      <c r="O65" s="287"/>
    </row>
    <row r="66" spans="1:15" ht="19.95" customHeight="1" x14ac:dyDescent="0.25">
      <c r="A66" s="142"/>
      <c r="B66" s="173"/>
      <c r="C66" s="282"/>
      <c r="D66" s="290"/>
      <c r="E66" s="287"/>
      <c r="G66" s="290"/>
      <c r="H66" s="282"/>
      <c r="I66" s="287"/>
      <c r="K66" s="290"/>
      <c r="L66" s="290"/>
      <c r="M66" s="282"/>
      <c r="N66" s="285"/>
      <c r="O66" s="287"/>
    </row>
    <row r="67" spans="1:15" ht="19.95" customHeight="1" x14ac:dyDescent="0.25">
      <c r="A67" s="142"/>
      <c r="B67" s="173"/>
      <c r="C67" s="282"/>
      <c r="D67" s="290"/>
      <c r="E67" s="287"/>
      <c r="G67" s="290"/>
      <c r="H67" s="282"/>
      <c r="I67" s="287"/>
      <c r="K67" s="290"/>
      <c r="L67" s="290"/>
      <c r="M67" s="282"/>
      <c r="N67" s="285"/>
      <c r="O67" s="287"/>
    </row>
    <row r="68" spans="1:15" ht="19.95" customHeight="1" x14ac:dyDescent="0.25">
      <c r="A68" s="142"/>
      <c r="B68" s="173"/>
      <c r="C68" s="282"/>
      <c r="D68" s="290"/>
      <c r="E68" s="287"/>
      <c r="G68" s="290"/>
      <c r="H68" s="282"/>
      <c r="I68" s="287"/>
      <c r="K68" s="290"/>
      <c r="L68" s="290"/>
      <c r="M68" s="282"/>
      <c r="N68" s="285"/>
      <c r="O68" s="287"/>
    </row>
    <row r="69" spans="1:15" ht="19.95" customHeight="1" x14ac:dyDescent="0.25">
      <c r="A69" s="142"/>
      <c r="B69" s="173"/>
      <c r="C69" s="282"/>
      <c r="D69" s="290"/>
      <c r="E69" s="287"/>
      <c r="G69" s="290"/>
      <c r="H69" s="282"/>
      <c r="I69" s="287"/>
      <c r="K69" s="290"/>
      <c r="L69" s="290"/>
      <c r="M69" s="282"/>
      <c r="N69" s="285"/>
      <c r="O69" s="287"/>
    </row>
    <row r="70" spans="1:15" ht="19.95" customHeight="1" x14ac:dyDescent="0.25">
      <c r="A70" s="142"/>
      <c r="B70" s="173"/>
      <c r="C70" s="282"/>
      <c r="D70" s="290"/>
      <c r="E70" s="287"/>
      <c r="G70" s="290"/>
      <c r="H70" s="282"/>
      <c r="I70" s="287"/>
      <c r="K70" s="290"/>
      <c r="L70" s="290"/>
      <c r="M70" s="282"/>
      <c r="N70" s="285"/>
      <c r="O70" s="287"/>
    </row>
    <row r="71" spans="1:15" ht="19.95" customHeight="1" x14ac:dyDescent="0.25">
      <c r="A71" s="142"/>
      <c r="B71" s="173"/>
      <c r="C71" s="282"/>
      <c r="D71" s="290"/>
      <c r="E71" s="287"/>
      <c r="G71" s="290"/>
      <c r="H71" s="282"/>
      <c r="I71" s="287"/>
      <c r="K71" s="290"/>
      <c r="L71" s="290"/>
      <c r="M71" s="282"/>
      <c r="N71" s="285"/>
      <c r="O71" s="287"/>
    </row>
    <row r="72" spans="1:15" ht="19.95" customHeight="1" x14ac:dyDescent="0.25">
      <c r="A72" s="142"/>
      <c r="B72" s="173"/>
      <c r="C72" s="282"/>
      <c r="D72" s="290"/>
      <c r="E72" s="287"/>
      <c r="G72" s="290"/>
      <c r="H72" s="282"/>
      <c r="I72" s="287"/>
      <c r="K72" s="290"/>
      <c r="L72" s="290"/>
      <c r="M72" s="282"/>
      <c r="N72" s="285"/>
      <c r="O72" s="287"/>
    </row>
    <row r="73" spans="1:15" ht="19.95" customHeight="1" x14ac:dyDescent="0.25">
      <c r="A73" s="142"/>
      <c r="B73" s="176"/>
      <c r="C73" s="283"/>
      <c r="D73" s="291"/>
      <c r="E73" s="287"/>
      <c r="G73" s="291"/>
      <c r="H73" s="283"/>
      <c r="I73" s="287"/>
      <c r="K73" s="291"/>
      <c r="L73" s="291"/>
      <c r="M73" s="283"/>
      <c r="N73" s="286"/>
      <c r="O73" s="287"/>
    </row>
    <row r="74" spans="1:15" ht="19.95" customHeight="1" x14ac:dyDescent="0.25">
      <c r="A74" s="142" t="s">
        <v>54</v>
      </c>
      <c r="B74" s="170"/>
      <c r="C74" s="281" t="s">
        <v>431</v>
      </c>
      <c r="D74" s="289"/>
      <c r="E74" s="287" t="str">
        <f>IF(ISERROR(IF(B74="导电",IF(ISBLANK(D74),IncompleteText,IF(AND(C74,D74&gt;=0.1*FuseNoiCur),OKText,ErrorText)),IF(C74,OKText,ErrorText))),IncompleteText,IF(B74="导电",IF(ISBLANK(D74),IncompleteText,IF(AND(C74,D74&gt;=0.1*FuseNoiCur),OKText,ErrorText)),IF(C74,OKText,ErrorText)))</f>
        <v>BLANK</v>
      </c>
      <c r="G74" s="289"/>
      <c r="H74" s="281" t="s">
        <v>431</v>
      </c>
      <c r="I74" s="287" t="str">
        <f t="shared" si="0"/>
        <v/>
      </c>
      <c r="K74" s="289"/>
      <c r="L74" s="289"/>
      <c r="M74" s="281" t="s">
        <v>431</v>
      </c>
      <c r="N74" s="284" t="s">
        <v>432</v>
      </c>
      <c r="O74" s="287" t="str">
        <f t="shared" si="1"/>
        <v/>
      </c>
    </row>
    <row r="75" spans="1:15" ht="19.95" customHeight="1" x14ac:dyDescent="0.25">
      <c r="A75" s="142"/>
      <c r="B75" s="173"/>
      <c r="C75" s="282"/>
      <c r="D75" s="290"/>
      <c r="E75" s="287"/>
      <c r="G75" s="290"/>
      <c r="H75" s="282"/>
      <c r="I75" s="287"/>
      <c r="K75" s="290"/>
      <c r="L75" s="290"/>
      <c r="M75" s="282"/>
      <c r="N75" s="285"/>
      <c r="O75" s="287"/>
    </row>
    <row r="76" spans="1:15" ht="19.95" customHeight="1" x14ac:dyDescent="0.25">
      <c r="A76" s="142"/>
      <c r="B76" s="173"/>
      <c r="C76" s="282"/>
      <c r="D76" s="290"/>
      <c r="E76" s="287"/>
      <c r="G76" s="290"/>
      <c r="H76" s="282"/>
      <c r="I76" s="287"/>
      <c r="K76" s="290"/>
      <c r="L76" s="290"/>
      <c r="M76" s="282"/>
      <c r="N76" s="285"/>
      <c r="O76" s="287"/>
    </row>
    <row r="77" spans="1:15" ht="19.95" customHeight="1" x14ac:dyDescent="0.25">
      <c r="A77" s="142"/>
      <c r="B77" s="173"/>
      <c r="C77" s="282"/>
      <c r="D77" s="290"/>
      <c r="E77" s="287"/>
      <c r="G77" s="290"/>
      <c r="H77" s="282"/>
      <c r="I77" s="287"/>
      <c r="K77" s="290"/>
      <c r="L77" s="290"/>
      <c r="M77" s="282"/>
      <c r="N77" s="285"/>
      <c r="O77" s="287"/>
    </row>
    <row r="78" spans="1:15" ht="19.95" customHeight="1" x14ac:dyDescent="0.25">
      <c r="A78" s="142"/>
      <c r="B78" s="173"/>
      <c r="C78" s="282"/>
      <c r="D78" s="290"/>
      <c r="E78" s="287"/>
      <c r="G78" s="290"/>
      <c r="H78" s="282"/>
      <c r="I78" s="287"/>
      <c r="K78" s="290"/>
      <c r="L78" s="290"/>
      <c r="M78" s="282"/>
      <c r="N78" s="285"/>
      <c r="O78" s="287"/>
    </row>
    <row r="79" spans="1:15" ht="19.95" customHeight="1" x14ac:dyDescent="0.25">
      <c r="A79" s="142"/>
      <c r="B79" s="173"/>
      <c r="C79" s="282"/>
      <c r="D79" s="290"/>
      <c r="E79" s="287"/>
      <c r="G79" s="290"/>
      <c r="H79" s="282"/>
      <c r="I79" s="287"/>
      <c r="K79" s="290"/>
      <c r="L79" s="290"/>
      <c r="M79" s="282"/>
      <c r="N79" s="285"/>
      <c r="O79" s="287"/>
    </row>
    <row r="80" spans="1:15" ht="19.95" customHeight="1" x14ac:dyDescent="0.25">
      <c r="A80" s="142"/>
      <c r="B80" s="173"/>
      <c r="C80" s="282"/>
      <c r="D80" s="290"/>
      <c r="E80" s="287"/>
      <c r="G80" s="290"/>
      <c r="H80" s="282"/>
      <c r="I80" s="287"/>
      <c r="K80" s="290"/>
      <c r="L80" s="290"/>
      <c r="M80" s="282"/>
      <c r="N80" s="285"/>
      <c r="O80" s="287"/>
    </row>
    <row r="81" spans="1:15" ht="19.95" customHeight="1" x14ac:dyDescent="0.25">
      <c r="A81" s="142"/>
      <c r="B81" s="173"/>
      <c r="C81" s="282"/>
      <c r="D81" s="290"/>
      <c r="E81" s="287"/>
      <c r="G81" s="290"/>
      <c r="H81" s="282"/>
      <c r="I81" s="287"/>
      <c r="K81" s="290"/>
      <c r="L81" s="290"/>
      <c r="M81" s="282"/>
      <c r="N81" s="285"/>
      <c r="O81" s="287"/>
    </row>
    <row r="82" spans="1:15" ht="19.95" customHeight="1" x14ac:dyDescent="0.25">
      <c r="A82" s="142"/>
      <c r="B82" s="173"/>
      <c r="C82" s="282"/>
      <c r="D82" s="290"/>
      <c r="E82" s="287"/>
      <c r="G82" s="290"/>
      <c r="H82" s="282"/>
      <c r="I82" s="287"/>
      <c r="K82" s="290"/>
      <c r="L82" s="290"/>
      <c r="M82" s="282"/>
      <c r="N82" s="285"/>
      <c r="O82" s="287"/>
    </row>
    <row r="83" spans="1:15" ht="19.95" customHeight="1" x14ac:dyDescent="0.25">
      <c r="A83" s="142"/>
      <c r="B83" s="176"/>
      <c r="C83" s="283"/>
      <c r="D83" s="291"/>
      <c r="E83" s="287"/>
      <c r="G83" s="291"/>
      <c r="H83" s="283"/>
      <c r="I83" s="287"/>
      <c r="K83" s="291"/>
      <c r="L83" s="291"/>
      <c r="M83" s="283"/>
      <c r="N83" s="286"/>
      <c r="O83" s="287"/>
    </row>
    <row r="84" spans="1:15" ht="19.95" customHeight="1" x14ac:dyDescent="0.25">
      <c r="A84" s="142" t="s">
        <v>439</v>
      </c>
      <c r="B84" s="170"/>
      <c r="C84" s="281" t="s">
        <v>431</v>
      </c>
      <c r="D84" s="289"/>
      <c r="E84" s="287" t="str">
        <f>IF(ISERROR(IF(B84="导电",IF(ISBLANK(D84),IncompleteText,IF(AND(C84,D84&gt;=0.1*FuseNoiCur),OKText,ErrorText)),IF(C84,OKText,ErrorText))),IncompleteText,IF(B84="导电",IF(ISBLANK(D84),IncompleteText,IF(AND(C84,D84&gt;=0.1*FuseNoiCur),OKText,ErrorText)),IF(C84,OKText,ErrorText)))</f>
        <v>BLANK</v>
      </c>
      <c r="G84" s="289"/>
      <c r="H84" s="281" t="s">
        <v>431</v>
      </c>
      <c r="I84" s="287" t="str">
        <f t="shared" si="0"/>
        <v/>
      </c>
      <c r="K84" s="289"/>
      <c r="L84" s="289"/>
      <c r="M84" s="281" t="s">
        <v>431</v>
      </c>
      <c r="N84" s="284" t="s">
        <v>432</v>
      </c>
      <c r="O84" s="287" t="str">
        <f t="shared" si="1"/>
        <v/>
      </c>
    </row>
    <row r="85" spans="1:15" ht="19.95" customHeight="1" x14ac:dyDescent="0.25">
      <c r="A85" s="142"/>
      <c r="B85" s="173"/>
      <c r="C85" s="282"/>
      <c r="D85" s="290"/>
      <c r="E85" s="287"/>
      <c r="G85" s="290"/>
      <c r="H85" s="282"/>
      <c r="I85" s="287"/>
      <c r="K85" s="290"/>
      <c r="L85" s="290"/>
      <c r="M85" s="282"/>
      <c r="N85" s="285"/>
      <c r="O85" s="287"/>
    </row>
    <row r="86" spans="1:15" ht="19.95" customHeight="1" x14ac:dyDescent="0.25">
      <c r="A86" s="142"/>
      <c r="B86" s="173"/>
      <c r="C86" s="282"/>
      <c r="D86" s="290"/>
      <c r="E86" s="287"/>
      <c r="G86" s="290"/>
      <c r="H86" s="282"/>
      <c r="I86" s="287"/>
      <c r="K86" s="290"/>
      <c r="L86" s="290"/>
      <c r="M86" s="282"/>
      <c r="N86" s="285"/>
      <c r="O86" s="287"/>
    </row>
    <row r="87" spans="1:15" ht="19.95" customHeight="1" x14ac:dyDescent="0.25">
      <c r="A87" s="142"/>
      <c r="B87" s="173"/>
      <c r="C87" s="282"/>
      <c r="D87" s="290"/>
      <c r="E87" s="287"/>
      <c r="G87" s="290"/>
      <c r="H87" s="282"/>
      <c r="I87" s="287"/>
      <c r="K87" s="290"/>
      <c r="L87" s="290"/>
      <c r="M87" s="282"/>
      <c r="N87" s="285"/>
      <c r="O87" s="287"/>
    </row>
    <row r="88" spans="1:15" ht="19.95" customHeight="1" x14ac:dyDescent="0.25">
      <c r="A88" s="142"/>
      <c r="B88" s="173"/>
      <c r="C88" s="282"/>
      <c r="D88" s="290"/>
      <c r="E88" s="287"/>
      <c r="G88" s="290"/>
      <c r="H88" s="282"/>
      <c r="I88" s="287"/>
      <c r="K88" s="290"/>
      <c r="L88" s="290"/>
      <c r="M88" s="282"/>
      <c r="N88" s="285"/>
      <c r="O88" s="287"/>
    </row>
    <row r="89" spans="1:15" ht="19.95" customHeight="1" x14ac:dyDescent="0.25">
      <c r="A89" s="142"/>
      <c r="B89" s="173"/>
      <c r="C89" s="282"/>
      <c r="D89" s="290"/>
      <c r="E89" s="287"/>
      <c r="G89" s="290"/>
      <c r="H89" s="282"/>
      <c r="I89" s="287"/>
      <c r="K89" s="290"/>
      <c r="L89" s="290"/>
      <c r="M89" s="282"/>
      <c r="N89" s="285"/>
      <c r="O89" s="287"/>
    </row>
    <row r="90" spans="1:15" ht="19.95" customHeight="1" x14ac:dyDescent="0.25">
      <c r="A90" s="142"/>
      <c r="B90" s="173"/>
      <c r="C90" s="282"/>
      <c r="D90" s="290"/>
      <c r="E90" s="287"/>
      <c r="G90" s="290"/>
      <c r="H90" s="282"/>
      <c r="I90" s="287"/>
      <c r="K90" s="290"/>
      <c r="L90" s="290"/>
      <c r="M90" s="282"/>
      <c r="N90" s="285"/>
      <c r="O90" s="287"/>
    </row>
    <row r="91" spans="1:15" ht="19.95" customHeight="1" x14ac:dyDescent="0.25">
      <c r="A91" s="142"/>
      <c r="B91" s="173"/>
      <c r="C91" s="282"/>
      <c r="D91" s="290"/>
      <c r="E91" s="287"/>
      <c r="G91" s="290"/>
      <c r="H91" s="282"/>
      <c r="I91" s="287"/>
      <c r="K91" s="290"/>
      <c r="L91" s="290"/>
      <c r="M91" s="282"/>
      <c r="N91" s="285"/>
      <c r="O91" s="287"/>
    </row>
    <row r="92" spans="1:15" ht="19.95" customHeight="1" x14ac:dyDescent="0.25">
      <c r="A92" s="142"/>
      <c r="B92" s="173"/>
      <c r="C92" s="282"/>
      <c r="D92" s="290"/>
      <c r="E92" s="287"/>
      <c r="G92" s="290"/>
      <c r="H92" s="282"/>
      <c r="I92" s="287"/>
      <c r="K92" s="290"/>
      <c r="L92" s="290"/>
      <c r="M92" s="282"/>
      <c r="N92" s="285"/>
      <c r="O92" s="287"/>
    </row>
    <row r="93" spans="1:15" ht="19.95" customHeight="1" x14ac:dyDescent="0.25">
      <c r="A93" s="142"/>
      <c r="B93" s="173"/>
      <c r="C93" s="283"/>
      <c r="D93" s="291"/>
      <c r="E93" s="287"/>
      <c r="G93" s="291"/>
      <c r="H93" s="283"/>
      <c r="I93" s="287"/>
      <c r="K93" s="291"/>
      <c r="L93" s="291"/>
      <c r="M93" s="283"/>
      <c r="N93" s="286"/>
      <c r="O93" s="287"/>
    </row>
  </sheetData>
  <sheetProtection algorithmName="SHA-512" hashValue="hqYgRnl/GPZQ3htDxOXSFbfC/vnbQZz7mOTnTGnJtdjkiJqRawmU49+SH61gQdwpwLQDKglGT+JxytJST2H3lw==" saltValue="iKwrJpXCdzNMP3WifSWsfA==" spinCount="100000" sheet="1" scenarios="1" insertHyperlinks="0"/>
  <mergeCells count="120">
    <mergeCell ref="O84:O93"/>
    <mergeCell ref="O74:O83"/>
    <mergeCell ref="K74:K83"/>
    <mergeCell ref="L74:L83"/>
    <mergeCell ref="M74:M83"/>
    <mergeCell ref="N74:N83"/>
    <mergeCell ref="K84:K93"/>
    <mergeCell ref="L84:L93"/>
    <mergeCell ref="M84:M93"/>
    <mergeCell ref="N84:N93"/>
    <mergeCell ref="K64:K73"/>
    <mergeCell ref="L64:L73"/>
    <mergeCell ref="M64:M73"/>
    <mergeCell ref="N64:N73"/>
    <mergeCell ref="O64:O73"/>
    <mergeCell ref="K54:K63"/>
    <mergeCell ref="L54:L63"/>
    <mergeCell ref="M54:M63"/>
    <mergeCell ref="N54:N63"/>
    <mergeCell ref="O54:O63"/>
    <mergeCell ref="K44:K53"/>
    <mergeCell ref="L44:L53"/>
    <mergeCell ref="M44:M53"/>
    <mergeCell ref="N44:N53"/>
    <mergeCell ref="O44:O53"/>
    <mergeCell ref="K34:K43"/>
    <mergeCell ref="L34:L43"/>
    <mergeCell ref="M34:M43"/>
    <mergeCell ref="N34:N43"/>
    <mergeCell ref="O34:O43"/>
    <mergeCell ref="K24:K33"/>
    <mergeCell ref="L24:L33"/>
    <mergeCell ref="M24:M33"/>
    <mergeCell ref="N24:N33"/>
    <mergeCell ref="O24:O33"/>
    <mergeCell ref="O4:O13"/>
    <mergeCell ref="K14:K23"/>
    <mergeCell ref="L14:L23"/>
    <mergeCell ref="M14:M23"/>
    <mergeCell ref="N14:N23"/>
    <mergeCell ref="O14:O23"/>
    <mergeCell ref="K4:K13"/>
    <mergeCell ref="L4:L13"/>
    <mergeCell ref="G74:G83"/>
    <mergeCell ref="H74:H83"/>
    <mergeCell ref="I74:I83"/>
    <mergeCell ref="G84:G93"/>
    <mergeCell ref="H84:H93"/>
    <mergeCell ref="I84:I93"/>
    <mergeCell ref="I44:I53"/>
    <mergeCell ref="H54:H63"/>
    <mergeCell ref="G54:G63"/>
    <mergeCell ref="I54:I63"/>
    <mergeCell ref="G64:G73"/>
    <mergeCell ref="H64:H73"/>
    <mergeCell ref="I64:I73"/>
    <mergeCell ref="I24:I33"/>
    <mergeCell ref="I14:I23"/>
    <mergeCell ref="H34:H43"/>
    <mergeCell ref="G34:G43"/>
    <mergeCell ref="I34:I43"/>
    <mergeCell ref="C54:C63"/>
    <mergeCell ref="D54:D63"/>
    <mergeCell ref="E54:E63"/>
    <mergeCell ref="G4:G13"/>
    <mergeCell ref="H4:H13"/>
    <mergeCell ref="G14:G23"/>
    <mergeCell ref="H14:H23"/>
    <mergeCell ref="G24:G33"/>
    <mergeCell ref="H24:H33"/>
    <mergeCell ref="G44:G53"/>
    <mergeCell ref="H44:H53"/>
    <mergeCell ref="D44:D53"/>
    <mergeCell ref="E44:E53"/>
    <mergeCell ref="I4:I13"/>
    <mergeCell ref="E84:E93"/>
    <mergeCell ref="D74:D83"/>
    <mergeCell ref="E74:E83"/>
    <mergeCell ref="C64:C73"/>
    <mergeCell ref="D64:D73"/>
    <mergeCell ref="E64:E73"/>
    <mergeCell ref="C74:C83"/>
    <mergeCell ref="A84:A93"/>
    <mergeCell ref="B84:B93"/>
    <mergeCell ref="C84:C93"/>
    <mergeCell ref="D84:D93"/>
    <mergeCell ref="A54:A63"/>
    <mergeCell ref="B54:B63"/>
    <mergeCell ref="A64:A73"/>
    <mergeCell ref="B64:B73"/>
    <mergeCell ref="A74:A83"/>
    <mergeCell ref="B74:B83"/>
    <mergeCell ref="A44:A53"/>
    <mergeCell ref="B44:B53"/>
    <mergeCell ref="C44:C53"/>
    <mergeCell ref="A34:A43"/>
    <mergeCell ref="B34:B43"/>
    <mergeCell ref="C34:C43"/>
    <mergeCell ref="D34:D43"/>
    <mergeCell ref="E34:E43"/>
    <mergeCell ref="A24:A33"/>
    <mergeCell ref="B24:B33"/>
    <mergeCell ref="C24:C33"/>
    <mergeCell ref="D24:D33"/>
    <mergeCell ref="E24:E33"/>
    <mergeCell ref="K2:N2"/>
    <mergeCell ref="M4:M13"/>
    <mergeCell ref="N4:N13"/>
    <mergeCell ref="A14:A23"/>
    <mergeCell ref="B14:B23"/>
    <mergeCell ref="C14:C23"/>
    <mergeCell ref="D14:D23"/>
    <mergeCell ref="E14:E23"/>
    <mergeCell ref="G2:H2"/>
    <mergeCell ref="A2:D2"/>
    <mergeCell ref="A4:A13"/>
    <mergeCell ref="B4:B13"/>
    <mergeCell ref="C4:C13"/>
    <mergeCell ref="D4:D13"/>
    <mergeCell ref="E4:E13"/>
  </mergeCells>
  <phoneticPr fontId="12" type="noConversion"/>
  <dataValidations count="1">
    <dataValidation type="list" allowBlank="1" showInputMessage="1" showErrorMessage="1" sqref="B14 B54 B64 B84 B74 L4 L14 L24 L34 L44 L54 L64 L74 L84 L94:L95" xr:uid="{93108783-CDB1-4D0B-A2AD-C7FE9A14288A}">
      <formula1>"导电 Conductive,可能导电 Maybe conductive,绝缘 Isolated"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C288E-BEF9-49EA-8D73-79D5DAFCE0E2}">
  <sheetPr codeName="Sheet12"/>
  <dimension ref="A1:D8"/>
  <sheetViews>
    <sheetView workbookViewId="0">
      <selection activeCell="C14" sqref="C14"/>
    </sheetView>
  </sheetViews>
  <sheetFormatPr defaultRowHeight="13.8" x14ac:dyDescent="0.25"/>
  <cols>
    <col min="1" max="1" width="47.77734375" customWidth="1"/>
    <col min="2" max="2" width="16.21875" customWidth="1"/>
    <col min="3" max="3" width="16" customWidth="1"/>
    <col min="4" max="4" width="10" bestFit="1" customWidth="1"/>
  </cols>
  <sheetData>
    <row r="1" spans="1:4" x14ac:dyDescent="0.25">
      <c r="A1" s="53" t="s">
        <v>41</v>
      </c>
      <c r="B1" s="53" t="s">
        <v>43</v>
      </c>
      <c r="C1" s="53" t="s">
        <v>45</v>
      </c>
      <c r="D1" s="53" t="s">
        <v>46</v>
      </c>
    </row>
    <row r="2" spans="1:4" x14ac:dyDescent="0.25">
      <c r="A2" s="14" t="s">
        <v>42</v>
      </c>
      <c r="B2" s="14" t="s">
        <v>44</v>
      </c>
      <c r="C2" s="14" t="s">
        <v>47</v>
      </c>
      <c r="D2" s="29">
        <v>45047</v>
      </c>
    </row>
    <row r="3" spans="1:4" x14ac:dyDescent="0.25">
      <c r="A3" s="14" t="s">
        <v>48</v>
      </c>
      <c r="B3" s="14" t="s">
        <v>49</v>
      </c>
      <c r="C3" s="14" t="s">
        <v>50</v>
      </c>
      <c r="D3" s="29">
        <v>45056</v>
      </c>
    </row>
    <row r="4" spans="1:4" x14ac:dyDescent="0.25">
      <c r="A4" s="14" t="s">
        <v>421</v>
      </c>
      <c r="B4" s="14" t="s">
        <v>422</v>
      </c>
      <c r="C4" s="14" t="s">
        <v>423</v>
      </c>
      <c r="D4" s="29">
        <v>45449</v>
      </c>
    </row>
    <row r="5" spans="1:4" x14ac:dyDescent="0.25">
      <c r="A5" s="42" t="s">
        <v>480</v>
      </c>
      <c r="B5" s="42" t="s">
        <v>482</v>
      </c>
      <c r="C5" s="42" t="s">
        <v>481</v>
      </c>
      <c r="D5" s="29">
        <v>45783</v>
      </c>
    </row>
    <row r="6" spans="1:4" x14ac:dyDescent="0.25">
      <c r="A6" s="62" t="s">
        <v>516</v>
      </c>
      <c r="B6" s="62" t="s">
        <v>482</v>
      </c>
      <c r="C6" s="62" t="s">
        <v>517</v>
      </c>
      <c r="D6" s="29">
        <v>46160</v>
      </c>
    </row>
    <row r="7" spans="1:4" x14ac:dyDescent="0.25">
      <c r="A7" s="66" t="s">
        <v>555</v>
      </c>
      <c r="B7" s="66" t="s">
        <v>556</v>
      </c>
      <c r="C7" s="66" t="s">
        <v>517</v>
      </c>
      <c r="D7" s="29">
        <v>46167</v>
      </c>
    </row>
    <row r="8" spans="1:4" x14ac:dyDescent="0.25">
      <c r="A8" s="36" t="s">
        <v>557</v>
      </c>
      <c r="B8" s="71" t="s">
        <v>556</v>
      </c>
      <c r="C8" s="71" t="s">
        <v>517</v>
      </c>
      <c r="D8" s="29">
        <v>46169</v>
      </c>
    </row>
  </sheetData>
  <sheetProtection algorithmName="SHA-512" hashValue="b9iHDx20jHZZT5igQrqT+HZGipfc/+5rX2Ff9Afxj4wQYpscn7+Xehxk7XjcN3AKcEBzUy5UyHDqt2Mvb+HNYA==" saltValue="af7gYX5TF4WxRkHaNNm0oQ==" spinCount="100000" sheet="1" objects="1" scenarios="1" selectLockedCells="1" selectUnlockedCells="1"/>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32</vt:i4>
      </vt:variant>
    </vt:vector>
  </HeadingPairs>
  <TitlesOfParts>
    <vt:vector size="44" baseType="lpstr">
      <vt:lpstr>总览 Overview</vt:lpstr>
      <vt:lpstr>规格书 Datasheet</vt:lpstr>
      <vt:lpstr>驱动系统原理图 TS Schematics</vt:lpstr>
      <vt:lpstr>电池箱 Accumulator</vt:lpstr>
      <vt:lpstr>备用电池箱 Spare Accumulator</vt:lpstr>
      <vt:lpstr>预充电放电 PrechargeDischarge</vt:lpstr>
      <vt:lpstr>充电 Charging</vt:lpstr>
      <vt:lpstr>安全系统 Shutdown circuit</vt:lpstr>
      <vt:lpstr>扭矩指令 Torque Security</vt:lpstr>
      <vt:lpstr>其他 Others</vt:lpstr>
      <vt:lpstr>接地 Grounding</vt:lpstr>
      <vt:lpstr>修订历史 Revision</vt:lpstr>
      <vt:lpstr>BattCellCapacity</vt:lpstr>
      <vt:lpstr>BattCellCapacity_BK</vt:lpstr>
      <vt:lpstr>BattCellMaxV</vt:lpstr>
      <vt:lpstr>BattCellMaxV_BK</vt:lpstr>
      <vt:lpstr>BattCellNomV</vt:lpstr>
      <vt:lpstr>BattCellNomV_BK</vt:lpstr>
      <vt:lpstr>BusCap</vt:lpstr>
      <vt:lpstr>CellsPerTempSensor</vt:lpstr>
      <vt:lpstr>CellsPerTempSensor_BK</vt:lpstr>
      <vt:lpstr>ConnectorNames</vt:lpstr>
      <vt:lpstr>ConnectorsTable</vt:lpstr>
      <vt:lpstr>ConnectorTable</vt:lpstr>
      <vt:lpstr>ContactorNames</vt:lpstr>
      <vt:lpstr>ContactorsTable</vt:lpstr>
      <vt:lpstr>DischargeRes</vt:lpstr>
      <vt:lpstr>FuseName</vt:lpstr>
      <vt:lpstr>FuseNames</vt:lpstr>
      <vt:lpstr>FuseNoiCur</vt:lpstr>
      <vt:lpstr>FuseNoiCur_BK</vt:lpstr>
      <vt:lpstr>FusesTable</vt:lpstr>
      <vt:lpstr>FuseTable</vt:lpstr>
      <vt:lpstr>InsulationNames</vt:lpstr>
      <vt:lpstr>InsulationsTable</vt:lpstr>
      <vt:lpstr>MaxTSVoltage</vt:lpstr>
      <vt:lpstr>MaxTSVoltage_BK</vt:lpstr>
      <vt:lpstr>NominalTSVoltage</vt:lpstr>
      <vt:lpstr>NominalTSVoltage_BK</vt:lpstr>
      <vt:lpstr>PrechargeRes</vt:lpstr>
      <vt:lpstr>ResistorsNames</vt:lpstr>
      <vt:lpstr>ResistorsTable</vt:lpstr>
      <vt:lpstr>TotalCells</vt:lpstr>
      <vt:lpstr>TotalCells_BK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YIKAI ZENG</dc:creator>
  <cp:lastModifiedBy>周勇</cp:lastModifiedBy>
  <dcterms:created xsi:type="dcterms:W3CDTF">2015-06-05T18:19:34Z</dcterms:created>
  <dcterms:modified xsi:type="dcterms:W3CDTF">2026-05-27T11:10:58Z</dcterms:modified>
</cp:coreProperties>
</file>